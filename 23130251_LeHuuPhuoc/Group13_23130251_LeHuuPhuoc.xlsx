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hphu\Downloads\"/>
    </mc:Choice>
  </mc:AlternateContent>
  <bookViews>
    <workbookView xWindow="0" yWindow="0" windowWidth="23040" windowHeight="9072" tabRatio="500" firstSheet="5" activeTab="7"/>
  </bookViews>
  <sheets>
    <sheet name="Cover" sheetId="1" r:id="rId1"/>
    <sheet name="Test case List" sheetId="2" r:id="rId2"/>
    <sheet name="TestDesign" sheetId="3" r:id="rId3"/>
    <sheet name="User - Register-Login-Logout" sheetId="4" r:id="rId4"/>
    <sheet name="Admin - Promotions - Discounts" sheetId="5" r:id="rId5"/>
    <sheet name="Admin - Promotions - Affiliates" sheetId="6" r:id="rId6"/>
    <sheet name="Admin - Promotions - Newsletter" sheetId="7" r:id="rId7"/>
    <sheet name="Test Report" sheetId="8" r:id="rId8"/>
  </sheets>
  <definedNames>
    <definedName name="_xlnm._FilterDatabase" localSheetId="2" hidden="1">TestDesign!$A$1:$F$235</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4" i="8" l="1"/>
  <c r="I13" i="8"/>
  <c r="C13" i="8"/>
  <c r="C12" i="8"/>
  <c r="I11" i="8"/>
  <c r="C11" i="8"/>
  <c r="C5" i="8"/>
  <c r="C4" i="8"/>
  <c r="C3" i="8"/>
  <c r="F6" i="7"/>
  <c r="C6" i="7" s="1"/>
  <c r="F14" i="8" s="1"/>
  <c r="E6" i="7"/>
  <c r="H14" i="8" s="1"/>
  <c r="D6" i="7"/>
  <c r="G14" i="8" s="1"/>
  <c r="B6" i="7"/>
  <c r="E14" i="8" s="1"/>
  <c r="A6" i="7"/>
  <c r="D14" i="8" s="1"/>
  <c r="F6" i="6"/>
  <c r="E6" i="6"/>
  <c r="C6" i="6" s="1"/>
  <c r="F13" i="8" s="1"/>
  <c r="D6" i="6"/>
  <c r="G13" i="8" s="1"/>
  <c r="B6" i="6"/>
  <c r="E13" i="8" s="1"/>
  <c r="A6" i="6"/>
  <c r="D13" i="8" s="1"/>
  <c r="F6" i="5"/>
  <c r="C6" i="5" s="1"/>
  <c r="F12" i="8" s="1"/>
  <c r="E6" i="5"/>
  <c r="H12" i="8" s="1"/>
  <c r="D6" i="5"/>
  <c r="G12" i="8" s="1"/>
  <c r="B6" i="5"/>
  <c r="E12" i="8" s="1"/>
  <c r="A6" i="5"/>
  <c r="D12" i="8" s="1"/>
  <c r="F6" i="4"/>
  <c r="E6" i="4"/>
  <c r="C6" i="4" s="1"/>
  <c r="F11" i="8" s="1"/>
  <c r="D6" i="4"/>
  <c r="G11" i="8" s="1"/>
  <c r="B6" i="4"/>
  <c r="E11" i="8" s="1"/>
  <c r="A6" i="4"/>
  <c r="D11" i="8" s="1"/>
  <c r="D4" i="2"/>
  <c r="D3" i="2"/>
  <c r="C6" i="1"/>
  <c r="D15" i="8" l="1"/>
  <c r="G15" i="8"/>
  <c r="E15" i="8"/>
  <c r="F15" i="8"/>
  <c r="I12" i="8"/>
  <c r="I14" i="8"/>
  <c r="H11" i="8"/>
  <c r="H13" i="8"/>
  <c r="I15" i="8" l="1"/>
  <c r="E17" i="8" s="1"/>
  <c r="H15" i="8"/>
  <c r="E18" i="8"/>
</calcChain>
</file>

<file path=xl/comments1.xml><?xml version="1.0" encoding="utf-8"?>
<comments xmlns="http://schemas.openxmlformats.org/spreadsheetml/2006/main">
  <authors>
    <author>Unknown Author</author>
  </authors>
  <commentList>
    <comment ref="E11" authorId="0" shapeId="0">
      <text>
        <r>
          <rPr>
            <sz val="10"/>
            <rFont val="Arial"/>
            <family val="2"/>
          </rPr>
          <t>======
ID#AAAAHWfBFzA
    (2020-11-28 06:09:48)
*A: Add
  M: Modify
  D: Delete</t>
        </r>
      </text>
    </comment>
  </commentList>
</comments>
</file>

<file path=xl/comments2.xml><?xml version="1.0" encoding="utf-8"?>
<comments xmlns="http://schemas.openxmlformats.org/spreadsheetml/2006/main">
  <authors>
    <author>Unknown Author</author>
  </authors>
  <commentList>
    <comment ref="F8" authorId="0" shapeId="0">
      <text>
        <r>
          <rPr>
            <sz val="10"/>
            <rFont val="Arial"/>
            <family val="2"/>
          </rPr>
          <t>======
ID#AAAAHWfBFzI
    (2020-11-28 06:09:48)
Pass
Fail
Untested
N/A</t>
        </r>
      </text>
    </comment>
  </commentList>
</comments>
</file>

<file path=xl/comments3.xml><?xml version="1.0" encoding="utf-8"?>
<comments xmlns="http://schemas.openxmlformats.org/spreadsheetml/2006/main">
  <authors>
    <author>Unknown Author</author>
  </authors>
  <commentList>
    <comment ref="F8" authorId="0" shapeId="0">
      <text>
        <r>
          <rPr>
            <sz val="10"/>
            <rFont val="Arial"/>
            <family val="2"/>
          </rPr>
          <t>======
ID#AAAAHWfBFzI
    (2020-11-28 06:09:48)
Pass
Fail
Untested
N/A</t>
        </r>
      </text>
    </comment>
  </commentList>
</comments>
</file>

<file path=xl/comments4.xml><?xml version="1.0" encoding="utf-8"?>
<comments xmlns="http://schemas.openxmlformats.org/spreadsheetml/2006/main">
  <authors>
    <author>Unknown Author</author>
  </authors>
  <commentList>
    <comment ref="F8" authorId="0" shapeId="0">
      <text>
        <r>
          <rPr>
            <sz val="10"/>
            <rFont val="Arial"/>
            <family val="2"/>
          </rPr>
          <t>======
ID#AAAAHWfBFzI
    (2020-11-28 06:09:48)
Pass
Fail
Untested
N/A</t>
        </r>
      </text>
    </comment>
  </commentList>
</comments>
</file>

<file path=xl/comments5.xml><?xml version="1.0" encoding="utf-8"?>
<comments xmlns="http://schemas.openxmlformats.org/spreadsheetml/2006/main">
  <authors>
    <author>Unknown Author</author>
  </authors>
  <commentList>
    <comment ref="F8" authorId="0" shapeId="0">
      <text>
        <r>
          <rPr>
            <sz val="10"/>
            <rFont val="Arial"/>
            <family val="2"/>
          </rPr>
          <t>======
ID#AAAAHWfBFzI
    (2020-11-28 06:09:48)
Pass
Fail
Untested
N/A</t>
        </r>
      </text>
    </comment>
  </commentList>
</comments>
</file>

<file path=xl/sharedStrings.xml><?xml version="1.0" encoding="utf-8"?>
<sst xmlns="http://schemas.openxmlformats.org/spreadsheetml/2006/main" count="2078" uniqueCount="1020">
  <si>
    <t>TEST CASE</t>
  </si>
  <si>
    <t>Project Name</t>
  </si>
  <si>
    <t>nopCommerce Demo</t>
  </si>
  <si>
    <t>Creator</t>
  </si>
  <si>
    <t>Lê Hữu Phước</t>
  </si>
  <si>
    <t>Project Code</t>
  </si>
  <si>
    <t>NOP</t>
  </si>
  <si>
    <t>Reviewer/Approver</t>
  </si>
  <si>
    <t>ThS. Trần Thị Thanh Nga</t>
  </si>
  <si>
    <t>Document Code</t>
  </si>
  <si>
    <t>Issue Date</t>
  </si>
  <si>
    <t>Version</t>
  </si>
  <si>
    <t>AUT (URL)</t>
  </si>
  <si>
    <t>https://demo.nopcommerce.com/register</t>
  </si>
  <si>
    <t>Record of change</t>
  </si>
  <si>
    <t>Effective Date</t>
  </si>
  <si>
    <t>Change Item</t>
  </si>
  <si>
    <t>*A,D,M</t>
  </si>
  <si>
    <t>Change description</t>
  </si>
  <si>
    <t>Reference</t>
  </si>
  <si>
    <t>0.1</t>
  </si>
  <si>
    <t>A</t>
  </si>
  <si>
    <t>Tạo Test Design và test case cho 4 module của nopCommerce Demo: Đăng ký, đăng nhập, đăng xuất (Register-Login-Logout, 83 test case); Khuyến mãi - Discounts (Promotions, 48 test case); Affiliates (Promotions, 42 test case); Newsletter subscribers (Promotions, 61 test case)</t>
  </si>
  <si>
    <t>nopCommerce documentation (docs.nopcommerce.com); admin-demo.nopcommerce.com/Admin/Discount/List; admin-demo.nopcommerce.com/Admin/Affiliate/List; admin-demo.nopcommerce.com/Admin/NewsLetterSubscription/List</t>
  </si>
  <si>
    <t>TEST CASE LIST</t>
  </si>
  <si>
    <t>Test Environment Setup Description</t>
  </si>
  <si>
    <t>1. Storefront: https://demo.nopcommerce.com/ (khách hàng)
2. Admin: https://admin-demo.nopcommerce.com/admin/ (tài khoản admin được điền sẵn trên trang đăng nhập), dùng để kiểm tra khách hàng mới, Newsletter subscribers, danh sách Discounts và danh sách Affiliates
3. Trình duyệt: Chrome, Firefox, Edge bản mới nhất; thử thêm chế độ mobile
4. Lưu ý: demo dùng chung và dữ liệu được reset định kỳ; mỗi lần đăng ký dùng email mới (ví dụ phuoc.test01@example.com) và ghi nhận thông báo thực tế khi khác mô tả</t>
  </si>
  <si>
    <t>No</t>
  </si>
  <si>
    <t>Function Name</t>
  </si>
  <si>
    <t>Sheet Name</t>
  </si>
  <si>
    <t>Description</t>
  </si>
  <si>
    <t>Pre-Condition</t>
  </si>
  <si>
    <t>Đăng ký, đăng nhập, đăng xuất</t>
  </si>
  <si>
    <t>Register-Login-Logout</t>
  </si>
  <si>
    <t>Đăng ký (form Gender, First name, Last name, Email, Company name, Newsletter, Password, Confirm password: giao diện, thành công, bỏ trống, email, mật khẩu, họ tên/Company name, newsletter, bảo mật, điều hướng); Đăng nhập (giao diện, thành công, không thành công, bảo mật, quên mật khẩu); Đăng xuất</t>
  </si>
  <si>
    <t>Chưa đăng nhập; chuẩn bị email chưa đăng ký và tài khoản khách hàng hợp lệ; có tài khoản admin demo cho các case kiểm tra trên trang admin</t>
  </si>
  <si>
    <t>Khuyến mãi (Promotions)</t>
  </si>
  <si>
    <t>Promotions</t>
  </si>
  <si>
    <t>Discounts (Promotions &gt; Discounts) - danh sách: hiển thị trang, khối Search (Start date, End date, Discount type, Vendor, Coupon code, Discount name, Is active), bảng kết quả, phân trang, điều hướng ([Add new], [Edit], menu), bảo mật</t>
  </si>
  <si>
    <t>Đã đăng nhập trang admin demo (https://admin-demo.nopcommerce.com/admin/); dữ liệu mặc định có 2 discount ("'20% order total' discount", "Sample discount with coupon code"); chỉ xem và tìm kiếm, không lưu thay đổi dữ liệu</t>
  </si>
  <si>
    <t>Affiliates (Promotions)</t>
  </si>
  <si>
    <t>Admin - Promotions - Affiliates</t>
  </si>
  <si>
    <t>Affiliates (Promotions &gt; Affiliates) - danh sách: hiển thị trang, khối Search (First name, Last name, Friendly URL name, Load only with orders), bảng kết quả (First name, Last name, Active, Edit), phân trang, điều hướng ([Add new], [Edit], menu), bảo mật</t>
  </si>
  <si>
    <t>Đã đăng nhập trang admin demo (https://admin-demo.nopcommerce.com/admin/); dữ liệu mặc định có 1 affiliate (John Smith); chỉ xem và tìm kiếm, không lưu thay đổi dữ liệu</t>
  </si>
  <si>
    <t>Newsletter subscribers (Promotions)</t>
  </si>
  <si>
    <t>Admin - Promotions - Newsletter</t>
  </si>
  <si>
    <t>Newsletter subscribers (Promotions &gt; Newsletter subscribers) - danh sách: hiển thị trang, chuẩn bị dữ liệu từ storefront, khối Search (Email, Start date, End date, Active, Customer role, Subscription type), bảng kết quả, phân trang, [Export to CSV], [Import from CSV], điều hướng ([Add new], [Edit], menu), bảo mật</t>
  </si>
  <si>
    <t>Đã đăng nhập trang admin demo; danh sách mặc định chưa có subscriber (No records); cần tạo 2 subscriber từ storefront (đăng ký tài khoản có tích Newsletter và ô Newsletter ở footer) bằng email chưa dùng; không lưu thay đổi trực tiếp trên trang admin</t>
  </si>
  <si>
    <t>Requirement Level 1</t>
  </si>
  <si>
    <t>Requirement Level 2</t>
  </si>
  <si>
    <t>Requirement Level 3</t>
  </si>
  <si>
    <t>Test Criteria</t>
  </si>
  <si>
    <t>Test Type</t>
  </si>
  <si>
    <t>Note</t>
  </si>
  <si>
    <t>1. Đăng ký, đăng nhập, đăng xuất</t>
  </si>
  <si>
    <t>1.1 Đăng ký</t>
  </si>
  <si>
    <t>Hiển thị</t>
  </si>
  <si>
    <t>Kiểm tra mở trang đăng ký từ liên kết [Register] trên header</t>
  </si>
  <si>
    <t>Function</t>
  </si>
  <si>
    <t>Kiểm tra truy cập trực tiếp bằng URL /register và header khi chưa đăng nhập</t>
  </si>
  <si>
    <t>GUI</t>
  </si>
  <si>
    <t>Kiểm tra các nhóm và trường trên form đăng ký</t>
  </si>
  <si>
    <t>Kiểm tra dấu * ở các trường bắt buộc và giá trị mặc định của form</t>
  </si>
  <si>
    <t>Kiểm tra Gender chỉ cho chọn một giá trị</t>
  </si>
  <si>
    <t>Kiểm tra ô Password và Confirm password ẩn ký tự</t>
  </si>
  <si>
    <t>Kiểm tra thao tác bằng bàn phím (Tab, Enter)</t>
  </si>
  <si>
    <t>Kiểm tra layout form trên desktop và mobile</t>
  </si>
  <si>
    <t>Thành công</t>
  </si>
  <si>
    <t>Kiểm tra đăng ký thành công khi nhập đủ thông tin hợp lệ (Male, có Company name, tích Newsletter)</t>
  </si>
  <si>
    <t>Ghi lại email dùng ở case này cho các case phụ thuộc; nếu demo đã reset dữ liệu thì chạy lại case này</t>
  </si>
  <si>
    <t>Kiểm tra đăng ký thành công khi chỉ nhập các trường bắt buộc</t>
  </si>
  <si>
    <t>Kiểm tra đăng ký thành công khi chọn Female và bỏ tích Newsletter</t>
  </si>
  <si>
    <t>Kiểm tra nút [Continue] và trạng thái đăng nhập sau khi đăng ký</t>
  </si>
  <si>
    <t>Kiểm tra thông tin tài khoản được lưu đúng</t>
  </si>
  <si>
    <t>Kiểm tra đăng nhập lại bằng tài khoản vừa đăng ký</t>
  </si>
  <si>
    <t>Kiểm tra khách hàng mới hiển thị trong trang admin</t>
  </si>
  <si>
    <t>Kiểm tra đăng ký với tên tiếng Việt có dấu</t>
  </si>
  <si>
    <t>Kiểm tra đăng ký với tên có dấu nháy và gạch nối</t>
  </si>
  <si>
    <t>Kiểm tra đăng ký với Email có dấu "+" và dấu chấm</t>
  </si>
  <si>
    <t>Kiểm tra đăng ký với Email viết hoa rồi đăng nhập bằng chữ thường</t>
  </si>
  <si>
    <t>Kiểm tra đăng ký với mật khẩu chứa ký tự đặc biệt</t>
  </si>
  <si>
    <t>Kiểm tra giỏ hàng vãng lai được giữ lại sau khi đăng ký</t>
  </si>
  <si>
    <t>Kiểm tra wishlist vãng lai được giữ lại sau khi đăng ký</t>
  </si>
  <si>
    <t>Bỏ trống trường</t>
  </si>
  <si>
    <t>Kiểm tra để trống First name</t>
  </si>
  <si>
    <t>Kiểm tra để trống Last name</t>
  </si>
  <si>
    <t>Kiểm tra để trống Email</t>
  </si>
  <si>
    <t>Kiểm tra để trống Password</t>
  </si>
  <si>
    <t>Kiểm tra để trống Confirm password</t>
  </si>
  <si>
    <t>Kiểm tra để trống toàn bộ form</t>
  </si>
  <si>
    <t>Kiểm tra First name và Last name chỉ gồm khoảng trắng</t>
  </si>
  <si>
    <t>Kiểm tra Password và Confirm password chỉ gồm khoảng trắng</t>
  </si>
  <si>
    <t>Xác nhận nội dung thông báo thực tế khi chạy</t>
  </si>
  <si>
    <t>Kiểm tra thông báo lỗi biến mất sau khi nhập đúng</t>
  </si>
  <si>
    <t>Email</t>
  </si>
  <si>
    <t>Kiểm tra Email sai định dạng: thiếu @ và tên miền</t>
  </si>
  <si>
    <t>Kiểm tra Email sai định dạng: thiếu phần mở rộng tên miền (.com)</t>
  </si>
  <si>
    <t>Nếu demo chấp nhận email không có phần mở rộng tên miền thì ghi nhận Fail</t>
  </si>
  <si>
    <t>Kiểm tra Email sai định dạng: thiếu phần tên trước @</t>
  </si>
  <si>
    <t>Kiểm tra Email sai định dạng: có 2 dấu @</t>
  </si>
  <si>
    <t>Kiểm tra Email sai định dạng: có khoảng trắng ở giữa</t>
  </si>
  <si>
    <t>Kiểm tra Email chứa mã script</t>
  </si>
  <si>
    <t>Kiểm tra Email đã tồn tại</t>
  </si>
  <si>
    <t>Kiểm tra Email đã tồn tại nhưng khác chữ hoa / thường</t>
  </si>
  <si>
    <t>Mật khẩu</t>
  </si>
  <si>
    <t>Kiểm tra mật khẩu 5 ký tự (dưới giới hạn tối thiểu)</t>
  </si>
  <si>
    <t>Kiểm tra mật khẩu đúng 6 ký tự (giá trị biên dưới)</t>
  </si>
  <si>
    <t>Kiểm tra mật khẩu đúng 64 ký tự (giá trị biên trên)</t>
  </si>
  <si>
    <t>Kiểm tra mật khẩu 65 ký tự (vượt giới hạn tối đa)</t>
  </si>
  <si>
    <t>Kiểm tra Confirm password khác hoàn toàn Password</t>
  </si>
  <si>
    <t>Kiểm tra Confirm password chỉ khác chữ hoa / thường</t>
  </si>
  <si>
    <t>Kiểm tra mật khẩu chỉ gồm chữ số (không yêu cầu độ mạnh)</t>
  </si>
  <si>
    <t>Form chỉ nêu quy tắc độ dài 6 - 64 ký tự; nếu demo báo lỗi về độ mạnh mật khẩu thì ghi nhận Fail</t>
  </si>
  <si>
    <t>Trường thông tin</t>
  </si>
  <si>
    <t>Kiểm tra First name và Last name chỉ có 1 ký tự (giá trị biên dưới)</t>
  </si>
  <si>
    <t>Kiểm tra họ tên chứa chữ số và ký tự đặc biệt</t>
  </si>
  <si>
    <t>nopCommerce mặc định không kiểm tra ký tự của họ tên; nếu demo chặn thì ghi nhận Fail</t>
  </si>
  <si>
    <t>Kiểm tra Company name chứa ký tự đặc biệt</t>
  </si>
  <si>
    <t>Newsletter</t>
  </si>
  <si>
    <t>Kiểm tra đăng ký tích Newsletter hiển thị trong trang admin</t>
  </si>
  <si>
    <t>Kiểm tra đăng ký bỏ tích Newsletter thì không có trong danh sách subscriber</t>
  </si>
  <si>
    <t>Kiểm tra bật rồi tắt Newsletter sau khi đăng ký</t>
  </si>
  <si>
    <t>Kiểm tra email đã đăng ký newsletter ở footer rồi đăng ký tài khoản cùng email</t>
  </si>
  <si>
    <t>Bảo mật</t>
  </si>
  <si>
    <t>Kiểm tra mã script ở First name không bị thực thi</t>
  </si>
  <si>
    <t>Kiểm tra SQL injection ở họ tên</t>
  </si>
  <si>
    <t>Kiểm tra nhấn [REGISTER] nhiều lần liên tiếp</t>
  </si>
  <si>
    <t>Kiểm tra tải lại trang (F5) sau khi đăng ký thành công</t>
  </si>
  <si>
    <t>Kiểm tra nút Back của trình duyệt sau khi đăng ký thành công</t>
  </si>
  <si>
    <t>Kiểm tra email và mật khẩu không xuất hiện trên URL</t>
  </si>
  <si>
    <t>Kiểm tra trang đăng ký dùng kết nối HTTPS</t>
  </si>
  <si>
    <t>Liên kết</t>
  </si>
  <si>
    <t>Kiểm tra liên kết [Log in] trên header của trang đăng ký</t>
  </si>
  <si>
    <t>Kiểm tra click logo nopCommerce khi đang nhập dở form</t>
  </si>
  <si>
    <t>1.2 Đăng nhập</t>
  </si>
  <si>
    <t>Kiểm tra mở trang đăng nhập từ menu [Log in]</t>
  </si>
  <si>
    <t>Kiểm tra layout trang đăng nhập</t>
  </si>
  <si>
    <t>Kiểm tra nút [Register] trong khối New Customer</t>
  </si>
  <si>
    <t>Kiểm tra đăng nhập với Email và Password đúng</t>
  </si>
  <si>
    <t>Kiểm tra tùy chọn [Remember me]</t>
  </si>
  <si>
    <t>Kiểm tra Email không phân biệt chữ hoa thường</t>
  </si>
  <si>
    <t>Kiểm tra đăng nhập có khoảng trắng đầu cuối ở Email</t>
  </si>
  <si>
    <t>Ghi nhận hành vi thực tế khi có khoảng trắng đầu/cuối</t>
  </si>
  <si>
    <t>Kiểm tra đăng nhập bằng phím Enter</t>
  </si>
  <si>
    <t>Kiểm tra quay lại trang đang xem sau khi đăng nhập</t>
  </si>
  <si>
    <t>Không thành công</t>
  </si>
  <si>
    <t>Kiểm tra Email đúng, Password sai</t>
  </si>
  <si>
    <t>Kiểm tra Email chưa đăng ký</t>
  </si>
  <si>
    <t>Kiểm tra để trống cả hai trường</t>
  </si>
  <si>
    <t>Kiểm tra Email sai định dạng</t>
  </si>
  <si>
    <t>Kiểm tra Password phân biệt chữ hoa thường</t>
  </si>
  <si>
    <t>Kiểm tra nhập ký tự đặc biệt / SQL injection vào Email và Password</t>
  </si>
  <si>
    <t>Kiểm tra nhập sai nhiều lần liên tiếp</t>
  </si>
  <si>
    <t>Tài khoản có bị khóa tạm thời hay không tùy cấu hình demo</t>
  </si>
  <si>
    <t>Quên mật khẩu</t>
  </si>
  <si>
    <t>Kiểm tra liên kết [Forgot password?]</t>
  </si>
  <si>
    <t>1.3 Đăng xuất</t>
  </si>
  <si>
    <t>Đăng xuất</t>
  </si>
  <si>
    <t>Kiểm tra đăng xuất</t>
  </si>
  <si>
    <t>Kiểm tra truy cập trang tài khoản khi chưa đăng nhập</t>
  </si>
  <si>
    <t>2. Khuyến mãi (Promotions)</t>
  </si>
  <si>
    <t>2.1 Discounts (danh sách)</t>
  </si>
  <si>
    <t>Kiểm tra mở trang Discounts từ menu Promotions</t>
  </si>
  <si>
    <t>Kiểm tra truy cập trực tiếp bằng URL /Admin/Discount/List</t>
  </si>
  <si>
    <t>Kiểm tra thông báo cảnh báo ở đầu trang</t>
  </si>
  <si>
    <t>Thông báo chỉ hiển thị khi cấu hình Ignore discounts (sitewide) đang bật; ghi nhận hành vi thực tế sau khi tải lại trang</t>
  </si>
  <si>
    <t>Kiểm tra các trường và nút trong khối Search</t>
  </si>
  <si>
    <t>Kiểm tra giá trị mặc định của khối Search</t>
  </si>
  <si>
    <t>Kiểm tra tooltip (?) của các trường tìm kiếm</t>
  </si>
  <si>
    <t>Kiểm tra thu gọn / mở rộng khối Search</t>
  </si>
  <si>
    <t>Kiểm tra các cột của bảng danh sách</t>
  </si>
  <si>
    <t>Kiểm tra dữ liệu mặc định trong bảng</t>
  </si>
  <si>
    <t>Dữ liệu demo dùng chung, có thể bị reset hoặc bị người khác thêm/sửa; đối chiếu theo dữ liệu thực tế khi chạy</t>
  </si>
  <si>
    <t>Kiểm tra định dạng cột Discount (phần trăm và số tiền)</t>
  </si>
  <si>
    <t>Kiểm tra layout trang trên desktop và mobile</t>
  </si>
  <si>
    <t>Tìm kiếm</t>
  </si>
  <si>
    <t>Kiểm tra tìm theo Discount name đầy đủ</t>
  </si>
  <si>
    <t>Kiểm tra tìm theo một phần Discount name</t>
  </si>
  <si>
    <t>Dữ liệu demo dùng chung, có thể bị reset hoặc bị người khác thêm/sửa; đối chiếu theo dữ liệu thực tế khi chạy; ghi nhận hành vi thực tế về phân biệt hoa thường</t>
  </si>
  <si>
    <t>Kiểm tra tìm Discount name không tồn tại</t>
  </si>
  <si>
    <t>Ghi nhận nội dung thông báo thực tế khi bảng rỗng</t>
  </si>
  <si>
    <t>Kiểm tra tìm theo Coupon code</t>
  </si>
  <si>
    <t>Kiểm tra tìm Coupon code không tồn tại</t>
  </si>
  <si>
    <t>Kiểm tra danh sách giá trị của Discount type</t>
  </si>
  <si>
    <t>Đối chiếu danh sách thực tế với nopCommerce 4.90.4</t>
  </si>
  <si>
    <t>Kiểm tra lọc Discount type = Assigned to order total</t>
  </si>
  <si>
    <t>Kiểm tra lọc Discount type = Assigned to products</t>
  </si>
  <si>
    <t>Kiểm tra lọc Is active = Active only</t>
  </si>
  <si>
    <t>Kiểm tra lọc Is active = Inactive only</t>
  </si>
  <si>
    <t>Kiểm tra lọc theo Start date</t>
  </si>
  <si>
    <t>Dữ liệu demo dùng chung, có thể bị reset hoặc bị người khác thêm/sửa; đối chiếu theo dữ liệu thực tế khi chạy; chọn mốc cách xa ngày bắt đầu để tránh nhầm định dạng ngày/tháng</t>
  </si>
  <si>
    <t>Kiểm tra lọc theo End date</t>
  </si>
  <si>
    <t>Dữ liệu demo dùng chung, có thể bị reset hoặc bị người khác thêm/sửa; đối chiếu theo dữ liệu thực tế khi chạy; chọn mốc cách xa ngày kết thúc để tránh nhầm định dạng ngày/tháng</t>
  </si>
  <si>
    <t>Kiểm tra lọc đồng thời Start date và End date</t>
  </si>
  <si>
    <t>Kiểm tra Start date lớn hơn End date</t>
  </si>
  <si>
    <t>Ghi nhận hành vi thực tế (có thể có thông báo lỗi hoặc chỉ trả về bảng rỗng)</t>
  </si>
  <si>
    <t>Kiểm tra bộ lọc Vendor</t>
  </si>
  <si>
    <t>Dữ liệu demo dùng chung, có thể bị reset hoặc bị người khác thêm/sửa; đối chiếu theo dữ liệu thực tế khi chạy; ghi nhận hành vi thực tế vì demo có thể chỉ có giá trị "All"</t>
  </si>
  <si>
    <t>Kiểm tra kết hợp nhiều tiêu chí cho kết quả khớp</t>
  </si>
  <si>
    <t>Kiểm tra kết hợp nhiều tiêu chí không có kết quả</t>
  </si>
  <si>
    <t>Kiểm tra xóa tiêu chí rồi tìm lại</t>
  </si>
  <si>
    <t>Kiểm tra tìm kiếm bằng phím Enter</t>
  </si>
  <si>
    <t>Ghi nhận hành vi thực tế của phím Enter trong ô Discount name</t>
  </si>
  <si>
    <t>Kiểm tra Discount name có khoảng trắng đầu cuối</t>
  </si>
  <si>
    <t>Bảng kết quả</t>
  </si>
  <si>
    <t>Kiểm tra biểu tượng cột Is active khớp với trạng thái discount</t>
  </si>
  <si>
    <t>Kiểm tra dữ liệu trong bảng khớp với trang Edit</t>
  </si>
  <si>
    <t>Phân trang</t>
  </si>
  <si>
    <t>Kiểm tra giá trị mặc định và danh sách của ô Show</t>
  </si>
  <si>
    <t>Đối chiếu danh sách thực tế với cấu hình của demo</t>
  </si>
  <si>
    <t>Kiểm tra đổi số dòng mỗi trang</t>
  </si>
  <si>
    <t>Kiểm tra nút Previous / Next khi chỉ có 1 trang</t>
  </si>
  <si>
    <t>Kiểm tra nút làm mới bảng (biểu tượng refresh)</t>
  </si>
  <si>
    <t>Dữ liệu demo dùng chung, có thể bị reset hoặc bị người khác thêm/sửa; đối chiếu theo dữ liệu thực tế khi chạy; ghi nhận bộ lọc có được giữ khi làm mới hay không</t>
  </si>
  <si>
    <t>Điều hướng</t>
  </si>
  <si>
    <t>Kiểm tra nút [Add new]</t>
  </si>
  <si>
    <t>Kiểm tra nút [Edit] và quay lại danh sách</t>
  </si>
  <si>
    <t>Kiểm tra chuyển qua lại giữa các mục trong menu Promotions</t>
  </si>
  <si>
    <t>Kiểm tra liên kết "Learn more about discounts"</t>
  </si>
  <si>
    <t>Ghi nhận trang tài liệu mở ở tab mới hay cùng tab</t>
  </si>
  <si>
    <t>Kiểm tra tải lại trang (F5) sau khi tìm kiếm</t>
  </si>
  <si>
    <t>Ghi nhận hành vi thực tế sau khi tải lại trang</t>
  </si>
  <si>
    <t>Kiểm tra nút Back của trình duyệt sau khi mở trang Edit</t>
  </si>
  <si>
    <t>Kiểm tra mã script ở Discount name không bị thực thi</t>
  </si>
  <si>
    <t>Kiểm tra SQL injection ở Discount name và Coupon code</t>
  </si>
  <si>
    <t>Kiểm tra Discount name rất dài</t>
  </si>
  <si>
    <t>Kiểm tra truy cập trang Discounts khi chưa đăng nhập admin</t>
  </si>
  <si>
    <t>Đăng nhập lại admin demo (thông tin được điền sẵn) sau khi chạy case này</t>
  </si>
  <si>
    <t>Kiểm tra trang Discounts dùng kết nối HTTPS</t>
  </si>
  <si>
    <t>3. Affiliates (Promotions)</t>
  </si>
  <si>
    <t>3.1 Affiliates (danh sách)</t>
  </si>
  <si>
    <t>Kiểm tra mở trang Affiliates từ menu Promotions</t>
  </si>
  <si>
    <t>Kiểm tra truy cập trực tiếp bằng URL /Admin/Affiliate/List</t>
  </si>
  <si>
    <t>Kiểm tra đoạn giới thiệu phía trên bảng danh sách</t>
  </si>
  <si>
    <t>Kiểm tra trạng thái mặc định và thu gọn / mở rộng khối Search</t>
  </si>
  <si>
    <t>Trong ảnh chụp ban đầu khối Search đang thu gọn; ghi nhận trạng thái mặc định thực tế (trạng thái đóng/mở có thể được trình duyệt nhớ theo lần thao tác trước)</t>
  </si>
  <si>
    <t>Kiểm tra tìm theo First name đầy đủ</t>
  </si>
  <si>
    <t>Kiểm tra tìm theo Last name đầy đủ</t>
  </si>
  <si>
    <t>Kiểm tra tìm theo một phần First name</t>
  </si>
  <si>
    <t>Kiểm tra tìm theo một phần Last name</t>
  </si>
  <si>
    <t>Dữ liệu demo dùng chung, có thể bị reset hoặc bị người khác thêm/sửa; đối chiếu theo dữ liệu thực tế khi chạy; ghi nhận hành vi thực tế về tìm theo chuỗi con</t>
  </si>
  <si>
    <t>Kiểm tra tìm đồng thời First name và Last name khớp nhau</t>
  </si>
  <si>
    <t>Kiểm tra tìm đồng thời First name và Last name không khớp nhau</t>
  </si>
  <si>
    <t>Kiểm tra tìm First name không tồn tại</t>
  </si>
  <si>
    <t>Kiểm tra tìm theo Friendly URL name</t>
  </si>
  <si>
    <t>Dữ liệu demo dùng chung, có thể bị reset hoặc bị người khác thêm/sửa; đối chiếu theo dữ liệu thực tế khi chạy; nếu Friendly URL name của affiliate đang rỗng thì ghi nhận Skipped</t>
  </si>
  <si>
    <t>Kiểm tra tìm Friendly URL name không tồn tại</t>
  </si>
  <si>
    <t>Kiểm tra lọc affiliate có đơn hàng (Load only with orders)</t>
  </si>
  <si>
    <t>Dữ liệu demo dùng chung, có thể bị reset hoặc bị người khác thêm/sửa; đối chiếu theo dữ liệu thực tế khi chạy; ghi nhận kết quả thực tế vì affiliate mặc định có thể chưa có đơn hàng</t>
  </si>
  <si>
    <t>Kiểm tra bỏ trống toàn bộ tiêu chí rồi click [Search]</t>
  </si>
  <si>
    <t>Ghi nhận hành vi thực tế của phím Enter trong ô First name</t>
  </si>
  <si>
    <t>Kiểm tra First name có khoảng trắng đầu cuối</t>
  </si>
  <si>
    <t>Kiểm tra biểu tượng cột Active khớp với trạng thái affiliate</t>
  </si>
  <si>
    <t>Kiểm tra liên kết "Learn more about affiliates"</t>
  </si>
  <si>
    <t>Kiểm tra SQL injection ở First name, Last name và Friendly URL name</t>
  </si>
  <si>
    <t>Kiểm tra First name rất dài</t>
  </si>
  <si>
    <t>Kiểm tra truy cập trang Affiliates khi chưa đăng nhập admin</t>
  </si>
  <si>
    <t>Kiểm tra trang Affiliates dùng kết nối HTTPS</t>
  </si>
  <si>
    <t>Kiểm tra truy cập trang Edit với ID affiliate không tồn tại</t>
  </si>
  <si>
    <t>Ghi nhận hành vi thực tế (chuyển hướng hay hiển thị thông báo)</t>
  </si>
  <si>
    <t>4. Newsletter subscribers (Promotions)</t>
  </si>
  <si>
    <t>4.1 Newsletter subscribers (danh sách)</t>
  </si>
  <si>
    <t>Kiểm tra mở trang Newsletter subscribers từ menu Promotions</t>
  </si>
  <si>
    <t>Kiểm tra truy cập trực tiếp bằng URL /Admin/NewsLetterSubscription/List</t>
  </si>
  <si>
    <t>Kiểm tra các nút chức năng ở góc phải trang</t>
  </si>
  <si>
    <t>Trong ảnh chụp ban đầu khối Search đang mở rộng; ghi nhận trạng thái mặc định thực tế</t>
  </si>
  <si>
    <t>Chạy trước các case Data; dữ liệu demo dùng chung, nếu đã có subscriber do người khác tạo thì đối chiếu theo dữ liệu thực tế khi chạy</t>
  </si>
  <si>
    <t>Chuẩn bị dữ liệu</t>
  </si>
  <si>
    <t>Tạo subscriber Active bằng cách đăng ký tài khoản có tích Newsletter</t>
  </si>
  <si>
    <t>Ghi lại email dùng ở case này cho các case phụ thuộc; nếu demo đã reset dữ liệu thì chạy lại case này; nếu demo đặt đăng ký phải xác thực email thì Active có thể không được tích</t>
  </si>
  <si>
    <t>Tạo subscriber chưa Active bằng ô Newsletter ở footer storefront</t>
  </si>
  <si>
    <t>Ghi lại email dùng ở case này cho các case phụ thuộc; nếu demo đã reset dữ liệu thì chạy lại case này; ghi nhận nội dung thông báo và trạng thái Active thực tế</t>
  </si>
  <si>
    <t>Kiểm tra danh sách giá trị của Active</t>
  </si>
  <si>
    <t>Đối chiếu nhãn thực tế với nopCommerce 4.90.4</t>
  </si>
  <si>
    <t>Kiểm tra danh sách giá trị của Customer role</t>
  </si>
  <si>
    <t>Đối chiếu danh sách thực tế với nopCommerce 4.90.4 và cấu hình của demo</t>
  </si>
  <si>
    <t>Kiểm tra danh sách giá trị của Subscription type</t>
  </si>
  <si>
    <t>Kiểm tra tìm theo Email đầy đủ</t>
  </si>
  <si>
    <t>Kiểm tra tìm theo một phần Email</t>
  </si>
  <si>
    <t>Kiểm tra tìm theo Email viết hoa</t>
  </si>
  <si>
    <t>Kiểm tra tìm Email không tồn tại</t>
  </si>
  <si>
    <t>Kiểm tra tìm với Email sai định dạng</t>
  </si>
  <si>
    <t>Ghi nhận hành vi thực tế khi nhập email sai định dạng</t>
  </si>
  <si>
    <t>Kiểm tra lọc Active = chỉ Active</t>
  </si>
  <si>
    <t>Kiểm tra lọc Active = chỉ Not active</t>
  </si>
  <si>
    <t>Kiểm tra lọc Customer role = Registered</t>
  </si>
  <si>
    <t>Dữ liệu demo dùng chung, có thể bị reset hoặc bị người khác thêm/sửa; đối chiếu theo dữ liệu thực tế khi chạy; ghi nhận hành vi thực tế với subscriber chưa có tài khoản</t>
  </si>
  <si>
    <t>Kiểm tra lọc theo Subscription type</t>
  </si>
  <si>
    <t>Dữ liệu demo dùng chung, có thể bị reset hoặc bị người khác thêm/sửa; đối chiếu theo dữ liệu thực tế khi chạy; ghi nhận loại đã chọn và kết quả thực tế</t>
  </si>
  <si>
    <t>Dữ liệu demo dùng chung, có thể bị reset hoặc bị người khác thêm/sửa; đối chiếu theo dữ liệu thực tế khi chạy; nhập ngày đúng định dạng hiển thị trong ô để tránh nhầm ngày/tháng; lưu ý chênh lệch múi giờ giữa Created on và ngày chọn</t>
  </si>
  <si>
    <t>Ghi nhận hành vi thực tế của phím Enter trong ô Email</t>
  </si>
  <si>
    <t>Kiểm tra Email có khoảng trắng đầu cuối</t>
  </si>
  <si>
    <t>Kiểm tra biểu tượng cột Active khớp với trạng thái subscriber</t>
  </si>
  <si>
    <t>Kiểm tra cột Subscription type khớp với trang Edit</t>
  </si>
  <si>
    <t>Kiểm tra cột Language</t>
  </si>
  <si>
    <t>Dữ liệu demo dùng chung, có thể bị reset hoặc bị người khác thêm/sửa; đối chiếu theo dữ liệu thực tế khi chạy; ghi nhận giá trị thực tế</t>
  </si>
  <si>
    <t>Kiểm tra định dạng cột Created on</t>
  </si>
  <si>
    <t>Dữ liệu demo dùng chung, có thể bị reset hoặc bị người khác thêm/sửa; đối chiếu theo dữ liệu thực tế khi chạy; ghi nhận định dạng và chênh lệch múi giờ thực tế</t>
  </si>
  <si>
    <t>Export to CSV</t>
  </si>
  <si>
    <t>Kiểm tra xuất danh sách subscriber ra file CSV</t>
  </si>
  <si>
    <t>Dữ liệu demo dùng chung, có thể bị reset hoặc bị người khác thêm/sửa; đối chiếu theo dữ liệu thực tế khi chạy; ghi nhận tên file và các cột thực tế; nếu demo chặn export thì ghi nhận thông báo thực tế</t>
  </si>
  <si>
    <t>Kiểm tra xuất file CSV khi đang áp dụng bộ lọc</t>
  </si>
  <si>
    <t>Dữ liệu demo dùng chung, có thể bị reset hoặc bị người khác thêm/sửa; đối chiếu theo dữ liệu thực tế khi chạy; ghi nhận file có áp dụng bộ lọc hay không</t>
  </si>
  <si>
    <t>Kiểm tra xuất file CSV khi bảng không có dữ liệu</t>
  </si>
  <si>
    <t>Ghi nhận hành vi thực tế khi không có dữ liệu để xuất</t>
  </si>
  <si>
    <t>Import from CSV</t>
  </si>
  <si>
    <t>Kiểm tra mở hộp thoại Import from CSV</t>
  </si>
  <si>
    <t>Ghi nhận nội dung hướng dẫn và tên các nút thực tế</t>
  </si>
  <si>
    <t>Kiểm tra đóng hộp thoại Import mà không import</t>
  </si>
  <si>
    <t>Kiểm tra click [Import] khi chưa chọn file</t>
  </si>
  <si>
    <t>Ghi nhận nội dung thông báo thực tế; demo có thể chặn chức năng Import</t>
  </si>
  <si>
    <t>Kiểm tra import file không phải định dạng CSV</t>
  </si>
  <si>
    <t>Kiểm tra liên kết "Learn more about email campaigns"</t>
  </si>
  <si>
    <t>Kiểm tra mã script ở Email không bị thực thi</t>
  </si>
  <si>
    <t>Kiểm tra SQL injection ở Email</t>
  </si>
  <si>
    <t>Kiểm tra Email rất dài</t>
  </si>
  <si>
    <t>Kiểm tra truy cập trang Newsletter subscribers khi chưa đăng nhập admin</t>
  </si>
  <si>
    <t>Kiểm tra trang Newsletter subscribers dùng kết nối HTTPS</t>
  </si>
  <si>
    <t>Kiểm tra truy cập trang Edit với ID subscriber không tồn tại</t>
  </si>
  <si>
    <t>Module Code</t>
  </si>
  <si>
    <t>User - Register-Login-Logout</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</si>
  <si>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</si>
  <si>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</si>
  <si>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</si>
  <si>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</si>
  <si>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</si>
  <si>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</si>
  <si>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</si>
  <si>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</si>
  <si>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</si>
  <si>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</si>
  <si>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</si>
  <si>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</si>
  <si>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</si>
  <si>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</si>
  <si>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</si>
  <si>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AUTH_REG_View_01</t>
  </si>
  <si>
    <t>Pre-condition:
+ Chưa đăng nhập
Step:
1. Mở https://demo.nopcommerce.com/
2. Click [Register] ở góc trên bên phải</t>
  </si>
  <si>
    <t>1. Hiển thị trang chủ, header có [Register] và [Log in]
2. Hiển thị trang Register (URL /register), tiêu đề trang là "Register"</t>
  </si>
  <si>
    <t>AUTH_REG_View_02</t>
  </si>
  <si>
    <t>Pre-condition:
+ Chưa đăng nhập
Step:
1. Nhập URL https://demo.nopcommerce.com/register vào thanh địa chỉ
2. Quan sát header</t>
  </si>
  <si>
    <t>1. Hiển thị trang Register, menu danh mục hiển thị bình thường
2. Header hiển thị [Register], [Log in], Wishlist (0), Shopping cart (0), ô Search store, ô chọn tiền tệ; chưa có [My account] / [Log out]</t>
  </si>
  <si>
    <t>AUTH_REG_View_03</t>
  </si>
  <si>
    <t>1. Mở trang Register
2. Quan sát form</t>
  </si>
  <si>
    <t>1. Hiển thị trang Register
2. Có 4 nhóm: Your Personal Details (Gender Male/Female, First name, Last name, Email), Company Details (Company name), Subscribe to newsletter (Newsletter), Your Password (Password, Confirm password); có nút [REGISTER]</t>
  </si>
  <si>
    <t>AUTH_REG_View_04</t>
  </si>
  <si>
    <t>1. Mở trang Register mới (chưa nhập gì)
2. Quan sát dấu * bên cạnh các trường
3. Quan sát giá trị mặc định của các trường</t>
  </si>
  <si>
    <t>1. Hiển thị trang Register
2. Dấu * chỉ có ở First name, Last name, Email, Password, Confirm password; Gender, Company name, Newsletter không có dấu *
3. Gender chưa chọn; các ô nhập đều trống; Newsletter được tích sẵn</t>
  </si>
  <si>
    <t>AUTH_REG_View_05</t>
  </si>
  <si>
    <t>1. Click chọn Male
2. Click chọn Female</t>
  </si>
  <si>
    <t>1. Male được chọn
2. Female được chọn và Male tự bỏ chọn (radio button)</t>
  </si>
  <si>
    <t>AUTH_REG_View_06</t>
  </si>
  <si>
    <t>1. Nhập "Test@123456" vào ô Password
2. Nhập "Test@123456" vào ô Confirm password</t>
  </si>
  <si>
    <t>1. Ký tự hiển thị dạng dấu chấm, không lộ mật khẩu
2. Ký tự hiển thị dạng dấu chấm, không lộ mật khẩu</t>
  </si>
  <si>
    <t>AUTH_REG_View_07</t>
  </si>
  <si>
    <t>Pre-condition:
+ Chưa đăng nhập, đang ở trang Register
+ Dùng email chưa đăng ký (mỗi lần test dùng email mới, ví dụ phuoc.test01@example.com)
+ Dữ liệu hợp lệ: First name "Phuoc", Last name "Le", Password và Confirm password "Test@123456"
Step:
1. Click vào ô First name, nhấn Tab liên tục
2. Nhập dữ liệu hợp lệ vào các ô, đứng ở ô Confirm password rồi nhấn Enter</t>
  </si>
  <si>
    <t>1. Con trỏ di chuyển theo thứ tự: Last name, Email, Company name, Newsletter, Password, Confirm password, [REGISTER]
2. Form được gửi, đăng ký thành công</t>
  </si>
  <si>
    <t>AUTH_REG_View_08</t>
  </si>
  <si>
    <t>1. Xem form trên desktop
2. Thu nhỏ trình duyệt về kích thước mobile</t>
  </si>
  <si>
    <t>1. Form căn giữa, nhãn và ô nhập thẳng hàng
2. Form co giãn đúng, không tràn khung, nút [REGISTER] vẫn thao tác được</t>
  </si>
  <si>
    <t>AUTH_REG_Success_01</t>
  </si>
  <si>
    <t>Pre-condition:
+ Chưa đăng nhập, đang ở trang Register
+ Dùng email chưa đăng ký (mỗi lần test dùng email mới, ví dụ phuoc.test01@example.com)
Step:
1. Chọn Male; nhập First name "Phuoc", Last name "Le", Email chưa dùng, Company name "ABC Co., Ltd"
2. Nhập Password và Confirm password "Test@123456", giữ nguyên Newsletter được tích sẵn
3. Click [REGISTER]</t>
  </si>
  <si>
    <t>1. Dữ liệu được nhập, không báo lỗi
2. Mật khẩu hiển thị dạng dấu chấm; Newsletter vẫn được tích
3. Hiển thị "Your registration completed" và nút [Continue]</t>
  </si>
  <si>
    <t>AUTH_REG_Success_02</t>
  </si>
  <si>
    <t>Pre-condition:
+ Chưa đăng nhập, đang ở trang Register
+ Dùng email chưa đăng ký (mỗi lần test dùng email mới, ví dụ phuoc.test01@example.com)
+ Dữ liệu hợp lệ: First name "Phuoc", Last name "Le", Password và Confirm password "Test@123456"
Step:
1. Bỏ trống Gender và Company name; nhập First name, Last name, Email, Password, Confirm password hợp lệ
2. Click [REGISTER]</t>
  </si>
  <si>
    <t>1. Dữ liệu được nhập, không báo lỗi
2. Đăng ký thành công, không báo lỗi ở Gender và Company name</t>
  </si>
  <si>
    <t>AUTH_REG_Success_03</t>
  </si>
  <si>
    <t>Pre-condition:
+ Chưa đăng nhập, đang ở trang Register
+ Dùng email chưa đăng ký (mỗi lần test dùng email mới, ví dụ phuoc.test01@example.com)
+ Dữ liệu hợp lệ: First name "Phuoc", Last name "Le", Password và Confirm password "Test@123456"
Step:
1. Chọn Female, bỏ tích Newsletter, nhập các trường bắt buộc hợp lệ
2. Click [REGISTER]
3. Click [My account] &gt; [Customer info]</t>
  </si>
  <si>
    <t>1. Female được chọn, Newsletter không còn được tích
2. Hiển thị "Your registration completed"
3. Gender là Female, Newsletter không được tích</t>
  </si>
  <si>
    <t>AUTH_REG_Success_04</t>
  </si>
  <si>
    <t>Pre-condition:
+ Vừa hoàn thành AUTH_REG_Success_01, đang ở màn hình "Your registration completed"
Step:
1. Click [Continue]
2. Quan sát header</t>
  </si>
  <si>
    <t>1. Chuyển về trang chủ
2. Header hiển thị [My account], [Log out], Wishlist (0), Shopping cart (0); không còn [Register] / [Log in]</t>
  </si>
  <si>
    <t>AUTH_REG_Success_05</t>
  </si>
  <si>
    <t>Pre-condition:
+ Đã hoàn thành AUTH_REG_Success_04 (đang đăng nhập bằng tài khoản của AUTH_REG_Success_01)
Step:
1. Click [My account]
2. Quan sát thông tin trong [Customer info]</t>
  </si>
  <si>
    <t>1. Hiển thị trang Customer info
2. Gender, First name, Last name, Email, Company name đúng với dữ liệu đã nhập ở AUTH_REG_Success_01; Newsletter được tích</t>
  </si>
  <si>
    <t>AUTH_REG_Success_06</t>
  </si>
  <si>
    <t>Pre-condition:
+ Đang đăng nhập bằng tài khoản của AUTH_REG_Success_01
Step:
1. Click [Log out]
2. Click [Log in], đăng nhập bằng email và mật khẩu của AUTH_REG_Success_01</t>
  </si>
  <si>
    <t>1. Đăng xuất thành công, header hiển thị lại [Register] / [Log in]
2. Đăng nhập thành công vào đúng tài khoản</t>
  </si>
  <si>
    <t>AUTH_REG_Success_07</t>
  </si>
  <si>
    <t>Pre-condition:
+ Chưa đăng nhập
+ Có tài khoản admin demo (https://admin-demo.nopcommerce.com/admin/)
+ Đã hoàn thành AUTH_REG_Success_01 (dùng email của tài khoản đó)
Step:
1. Đăng nhập trang admin
2. Mở [Customers] &gt; [Customers], tìm email của AUTH_REG_Success_01</t>
  </si>
  <si>
    <t>1. Đăng nhập admin thành công
2. Khách hàng xuất hiện trong danh sách với đúng họ tên, email và nhóm [Registered]</t>
  </si>
  <si>
    <t>AUTH_REG_Success_08</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</si>
  <si>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"Phước", Last name "Lê Hữu", các trường còn lại hợp lệ
2. Click [REGISTER]
3. Click [My account] &gt; [Customer info]</t>
  </si>
  <si>
    <t>1. Họ tên hiển thị đúng dấu trong ô nhập
2. Đăng ký thành công
3. Họ tên hiển thị đúng dấu, không lỗi font</t>
  </si>
  <si>
    <t>AUTH_REG_Success_09</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</si>
  <si>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"Anne-Marie", Last name "O'Neil", các trường còn lại hợp lệ
2. Click [REGISTER]
3. Click [My account] &gt; [Customer info]</t>
  </si>
  <si>
    <t>1. Họ tên hiển thị đúng như đã nhập
2. Đăng ký thành công
3. Họ tên lưu và hiển thị đúng "Anne-Marie" và "O'Neil"</t>
  </si>
  <si>
    <t>AUTH_REG_Success_10</t>
  </si>
  <si>
    <t>Pre-condition:
+ Chưa đăng nhập, đang ở trang Register
+ Dùng email chưa đăng ký (mỗi lần test dùng email mới, ví dụ phuoc.test01@example.com)
+ Dữ liệu hợp lệ: First name "Phuoc", Last name "Le", Password và Confirm password "Test@123456"
Step:
1. Nhập Email "phuoc.le+test03@example.com", các trường còn lại hợp lệ
2. Click [REGISTER]
3. Click [My account] &gt; [Customer info]</t>
  </si>
  <si>
    <t>1. Email hiển thị đúng như đã nhập
2. Đăng ký thành công
3. Email lưu và hiển thị đúng "phuoc.le+test03@example.com"</t>
  </si>
  <si>
    <t>AUTH_REG_Success_11</t>
  </si>
  <si>
    <t>Pre-condition:
+ Chưa đăng nhập, đang ở trang Register
+ Dùng email chưa đăng ký (mỗi lần test dùng email mới, ví dụ phuoc.test01@example.com)
+ Dữ liệu hợp lệ: First name "Phuoc", Last name "Le", Password và Confirm password "Test@123456"
Step:
1. Nhập Email "Phuoc.Test02@Example.COM", các trường còn lại hợp lệ
2. Click [REGISTER]
3. Click [Log out]
4. Click [Log in], đăng nhập bằng email "phuoc.test02@example.com" và mật khẩu đã đăng ký</t>
  </si>
  <si>
    <t>1. Email hiển thị đúng như đã nhập
2. Đăng ký thành công
3. Đăng xuất thành công
4. Đăng nhập thành công (email không phân biệt hoa thường)</t>
  </si>
  <si>
    <t>AUTH_REG_Success_12</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</si>
  <si>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"P@ss!#$%^&amp;*()_+w0rd", các trường còn lại hợp lệ
2. Click [REGISTER]
3. Click [Log out], rồi đăng nhập lại bằng mật khẩu đó</t>
  </si>
  <si>
    <t>1. Mật khẩu hiển thị dạng dấu chấm
2. Đăng ký thành công
3. Đăng nhập thành công</t>
  </si>
  <si>
    <t>AUTH_REG_Success_13</t>
  </si>
  <si>
    <t>Pre-condition:
+ Chưa đăng nhập
+ Dùng email chưa đăng ký (mỗi lần test dùng email mới, ví dụ phuoc.test01@example.com)
+ Dữ liệu hợp lệ: First name "Phuoc", Last name "Le", Password và Confirm password "Test@123456"
Step:
1. Mở trang chi tiết một sản phẩm không yêu cầu chọn thuộc tính, click [Add to cart]
2. Mở trang Register, đăng ký tài khoản mới với dữ liệu hợp lệ
3. Click [Shopping cart]</t>
  </si>
  <si>
    <t>1. Header hiển thị Shopping cart (1)
2. Đăng ký thành công
3. Giỏ hàng vẫn còn sản phẩm đã thêm</t>
  </si>
  <si>
    <t>AUTH_REG_Success_14</t>
  </si>
  <si>
    <t>Pre-condition:
+ Chưa đăng nhập
+ Dùng email chưa đăng ký (mỗi lần test dùng email mới, ví dụ phuoc.test01@example.com)
+ Dữ liệu hợp lệ: First name "Phuoc", Last name "Le", Password và Confirm password "Test@123456"
Step:
1. Mở trang chi tiết một sản phẩm không yêu cầu chọn thuộc tính, click [Add to wishlist]
2. Mở trang Register, đăng ký tài khoản mới với dữ liệu hợp lệ
3. Click [Wishlist]</t>
  </si>
  <si>
    <t>1. Header hiển thị Wishlist (1)
2. Đăng ký thành công
3. Wishlist vẫn còn sản phẩm đã thêm</t>
  </si>
  <si>
    <t>AUTH_REG_Empty_01</t>
  </si>
  <si>
    <t>Pre-condition:
+ Chưa đăng nhập, đang ở trang Register
+ Dùng email chưa đăng ký (mỗi lần test dùng email mới, ví dụ phuoc.test01@example.com)
+ Dữ liệu hợp lệ: First name "Phuoc", Last name "Le", Password và Confirm password "Test@123456"
Step:
1. Để trống First name, nhập các trường còn lại hợp lệ
2. Click [REGISTER]</t>
  </si>
  <si>
    <t>1. Các trường còn lại có dữ liệu, First name để trống
2. Hiển thị "First name is required."; không tạo tài khoản</t>
  </si>
  <si>
    <t>AUTH_REG_Empty_02</t>
  </si>
  <si>
    <t>Pre-condition:
+ Chưa đăng nhập, đang ở trang Register
+ Dùng email chưa đăng ký (mỗi lần test dùng email mới, ví dụ phuoc.test01@example.com)
+ Dữ liệu hợp lệ: First name "Phuoc", Last name "Le", Password và Confirm password "Test@123456"
Step:
1. Để trống Last name, nhập các trường còn lại hợp lệ
2. Click [REGISTER]</t>
  </si>
  <si>
    <t>1. Các trường còn lại có dữ liệu, Last name để trống
2. Hiển thị "Last name is required."; không tạo tài khoản</t>
  </si>
  <si>
    <t>AUTH_REG_Empty_03</t>
  </si>
  <si>
    <t>Pre-condition:
+ Chưa đăng nhập, đang ở trang Register
+ Dùng email chưa đăng ký (mỗi lần test dùng email mới, ví dụ phuoc.test01@example.com)
+ Dữ liệu hợp lệ: First name "Phuoc", Last name "Le", Password và Confirm password "Test@123456"
Step:
1. Để trống Email, nhập các trường còn lại hợp lệ
2. Click [REGISTER]</t>
  </si>
  <si>
    <t>1. Các trường còn lại có dữ liệu, Email để trống
2. Hiển thị "Email is required."; không tạo tài khoản</t>
  </si>
  <si>
    <t>AUTH_REG_Empty_04</t>
  </si>
  <si>
    <t>Pre-condition:
+ Chưa đăng nhập, đang ở trang Register
+ Dùng email chưa đăng ký (mỗi lần test dùng email mới, ví dụ phuoc.test01@example.com)
+ Dữ liệu hợp lệ: First name "Phuoc", Last name "Le", Password và Confirm password "Test@123456"
Step:
1. Để trống Password, nhập Confirm password "Test@123456", các trường còn lại hợp lệ
2. Click [REGISTER]</t>
  </si>
  <si>
    <t>1. Ô Password trống, Confirm password có dữ liệu
2. Hiển thị "Password is required." ở ô Password; không tạo tài khoản</t>
  </si>
  <si>
    <t>AUTH_REG_Empty_05</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</si>
  <si>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"Test@123456", để trống Confirm password, các trường còn lại hợp lệ
2. Click [REGISTER]</t>
  </si>
  <si>
    <t>1. Ô Confirm password trống, Password có dữ liệu
2. Hiển thị "Password is required." ở ô Confirm password; không tạo tài khoản</t>
  </si>
  <si>
    <t>AUTH_REG_Empty_06</t>
  </si>
  <si>
    <t>Pre-condition:
+ Chưa đăng nhập, đang ở trang Register
+ Dùng email chưa đăng ký (mỗi lần test dùng email mới, ví dụ phuoc.test01@example.com)
Step:
1. Không nhập gì vào form
2. Click [REGISTER]</t>
  </si>
  <si>
    <t>1. Các ô đều trống, Newsletter được tích sẵn
2. Hiển thị lỗi ở đủ 5 trường bắt buộc (First name, Last name, Email, Password, Confirm password); không tạo tài khoản</t>
  </si>
  <si>
    <t>AUTH_REG_Empty_07</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</si>
  <si>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và Last name chỉ gồm 3 dấu cách, các trường còn lại hợp lệ
2. Click [REGISTER]</t>
  </si>
  <si>
    <t>1. Hai ô họ tên chỉ chứa khoảng trắng
2. Hiển thị "First name is required." và "Last name is required."; không tạo tài khoản</t>
  </si>
  <si>
    <t>AUTH_REG_Empty_08</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</si>
  <si>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gồm 6 dấu cách, các trường còn lại hợp lệ
2. Click [REGISTER]</t>
  </si>
  <si>
    <t>1. Hai ô mật khẩu chứa 6 ký tự (dấu chấm)
2. Hiển thị thông báo lỗi ở ô Password; không tạo tài khoản</t>
  </si>
  <si>
    <t>AUTH_REG_Empty_09</t>
  </si>
  <si>
    <t>Pre-condition:
+ Chưa đăng nhập, đang ở trang Register
+ Dùng email chưa đăng ký (mỗi lần test dùng email mới, ví dụ phuoc.test01@example.com)
+ Dữ liệu hợp lệ: First name "Phuoc", Last name "Le", Password và Confirm password "Test@123456"
Step:
1. Click [REGISTER] khi form trống
2. Nhập dữ liệu hợp lệ vào từng ô
3. Click [REGISTER]</t>
  </si>
  <si>
    <t>1. Hiển thị lỗi ở 5 trường bắt buộc
2. Thông báo lỗi của từng ô biến mất khi ô đó được nhập đúng
3. Đăng ký thành công</t>
  </si>
  <si>
    <t>AUTH_REG_Email_01</t>
  </si>
  <si>
    <t>Pre-condition:
+ Chưa đăng nhập, đang ở trang Register
+ Dùng email chưa đăng ký (mỗi lần test dùng email mới, ví dụ phuoc.test01@example.com)
+ Dữ liệu hợp lệ: First name "Phuoc", Last name "Le", Password và Confirm password "Test@123456"
Step:
1. Nhập Email "abc", các trường còn lại hợp lệ
2. Click [REGISTER]</t>
  </si>
  <si>
    <t>1. Các ô hiển thị đúng dữ liệu đã nhập
2. Hiển thị "Wrong email"; không tạo tài khoản</t>
  </si>
  <si>
    <t>AUTH_REG_Email_02</t>
  </si>
  <si>
    <t>Pre-condition:
+ Chưa đăng nhập, đang ở trang Register
+ Dùng email chưa đăng ký (mỗi lần test dùng email mới, ví dụ phuoc.test01@example.com)
+ Dữ liệu hợp lệ: First name "Phuoc", Last name "Le", Password và Confirm password "Test@123456"
Step:
1. Nhập Email "abc@example", các trường còn lại hợp lệ
2. Click [REGISTER]</t>
  </si>
  <si>
    <t>AUTH_REG_Email_03</t>
  </si>
  <si>
    <t>Pre-condition:
+ Chưa đăng nhập, đang ở trang Register
+ Dùng email chưa đăng ký (mỗi lần test dùng email mới, ví dụ phuoc.test01@example.com)
+ Dữ liệu hợp lệ: First name "Phuoc", Last name "Le", Password và Confirm password "Test@123456"
Step:
1. Nhập Email "@example.com", các trường còn lại hợp lệ
2. Click [REGISTER]</t>
  </si>
  <si>
    <t>AUTH_REG_Email_04</t>
  </si>
  <si>
    <t>Pre-condition:
+ Chưa đăng nhập, đang ở trang Register
+ Dùng email chưa đăng ký (mỗi lần test dùng email mới, ví dụ phuoc.test01@example.com)
+ Dữ liệu hợp lệ: First name "Phuoc", Last name "Le", Password và Confirm password "Test@123456"
Step:
1. Nhập Email "abc@@example.com", các trường còn lại hợp lệ
2. Click [REGISTER]</t>
  </si>
  <si>
    <t>AUTH_REG_Email_05</t>
  </si>
  <si>
    <t>Pre-condition:
+ Chưa đăng nhập, đang ở trang Register
+ Dùng email chưa đăng ký (mỗi lần test dùng email mới, ví dụ phuoc.test01@example.com)
+ Dữ liệu hợp lệ: First name "Phuoc", Last name "Le", Password và Confirm password "Test@123456"
Step:
1. Nhập Email "abc @example.com", các trường còn lại hợp lệ
2. Click [REGISTER]</t>
  </si>
  <si>
    <t>AUTH_REG_Email_06</t>
  </si>
  <si>
    <t>Pre-condition:
+ Chưa đăng nhập, đang ở trang Register
+ Dùng email chưa đăng ký (mỗi lần test dùng email mới, ví dụ phuoc.test01@example.com)
+ Dữ liệu hợp lệ: First name "Phuoc", Last name "Le", Password và Confirm password "Test@123456"
Step:
1. Nhập Email "&lt;script&gt;alert(1)&lt;/script&gt;@example.com", các trường còn lại hợp lệ
2. Click [REGISTER]</t>
  </si>
  <si>
    <t>1. Các ô hiển thị đúng dữ liệu đã nhập
2. Hiển thị "Wrong email"; không thực thi script; không tạo tài khoản</t>
  </si>
  <si>
    <t>AUTH_REG_Email_07</t>
  </si>
  <si>
    <t>Pre-condition:
+ Chưa đăng nhập, đang ở trang Register
+ Dữ liệu hợp lệ: First name "Phuoc", Last name "Le", Password và Confirm password "Test@123456"
+ Đã hoàn thành AUTH_REG_Success_01 (dùng email của tài khoản đó)
Step:
1. Nhập Email của tài khoản AUTH_REG_Success_01, các trường còn lại hợp lệ
2. Click [REGISTER]</t>
  </si>
  <si>
    <t>1. Các ô hiển thị đúng dữ liệu đã nhập
2. Hiển thị "The specified email already exists"; không tạo tài khoản mới</t>
  </si>
  <si>
    <t>AUTH_REG_Email_08</t>
  </si>
  <si>
    <t>Pre-condition:
+ Chưa đăng nhập, đang ở trang Register
+ Dữ liệu hợp lệ: First name "Phuoc", Last name "Le", Password và Confirm password "Test@123456"
+ Đã hoàn thành AUTH_REG_Success_01 (dùng email của tài khoản đó)
Step:
1. Nhập Email của AUTH_REG_Success_01 nhưng viết hoa một số ký tự (ví dụ PHUOC.TEST01@example.com), các trường còn lại hợp lệ
2. Click [REGISTER]</t>
  </si>
  <si>
    <t>AUTH_REG_Password_01</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</si>
  <si>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"Ab123" (5 ký tự), các trường còn lại hợp lệ
2. Click [REGISTER]</t>
  </si>
  <si>
    <t>1. Hai ô mật khẩu hiển thị dạng dấu chấm
2. Hiển thị "Password must meet the following rules: must have at least 6 characters and not greater than 64 characters"; không tạo tài khoản</t>
  </si>
  <si>
    <t>AUTH_REG_Password_02</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</si>
  <si>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"Ab1234" (6 ký tự), các trường còn lại hợp lệ
2. Click [REGISTER]</t>
  </si>
  <si>
    <t>1. Hai ô mật khẩu hiển thị dạng dấu chấm
2. Đăng ký thành công</t>
  </si>
  <si>
    <t>AUTH_REG_Password_03</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</si>
  <si>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"Ab1" + 61 ký tự "a" (tổng 64 ký tự), các trường còn lại hợp lệ
2. Click [REGISTER]</t>
  </si>
  <si>
    <t>AUTH_REG_Password_04</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</si>
  <si>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"Ab1" + 62 ký tự "a" (tổng 65 ký tự), các trường còn lại hợp lệ
2. Click [REGISTER]</t>
  </si>
  <si>
    <t>AUTH_REG_Password_05</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</si>
  <si>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"Test@123456", Confirm password "Khac@654321", các trường còn lại hợp lệ
2. Click [REGISTER]</t>
  </si>
  <si>
    <t>1. Các ô hiển thị đúng dữ liệu đã nhập
2. Hiển thị "The password and confirmation password do not match."; không tạo tài khoản</t>
  </si>
  <si>
    <t>AUTH_REG_Password_06</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</si>
  <si>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"Test@123456", Confirm password "test@123456", các trường còn lại hợp lệ
2. Click [REGISTER]</t>
  </si>
  <si>
    <t>1. Các ô hiển thị đúng dữ liệu đã nhập
2. Hiển thị "The password and confirmation password do not match." (mật khẩu phân biệt hoa thường); không tạo tài khoản</t>
  </si>
  <si>
    <t>AUTH_REG_Password_07</t>
  </si>
  <si>
    <t>Pre-condition:
+ Chưa đăng nhập, đang ở trang Register
+ Dùng email chưa đăng ký (mỗi lần test dùng email mới, ví dụ phuoc.test01@example.com)
+ Dữ liệu hợp lệ: First name "Phuoc", Last name "Le", Password và Confirm password "Test@123456"
Step:
1. Nhập Password và Confirm password "123456", các trường còn lại hợp lệ
2. Click [REGISTER]</t>
  </si>
  <si>
    <t>AUTH_REG_Field_01</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</si>
  <si>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"A", Last name "B", các trường còn lại hợp lệ
2. Click [REGISTER]</t>
  </si>
  <si>
    <t>1. Các ô hiển thị đúng dữ liệu đã nhập
2. Đăng ký thành công</t>
  </si>
  <si>
    <t>AUTH_REG_Field_02</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</si>
  <si>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"Phuoc123", Last name "Le_@#", các trường còn lại hợp lệ
2. Click [REGISTER]
3. Click [My account] &gt; [Customer info]</t>
  </si>
  <si>
    <t>1. Các ô hiển thị đúng dữ liệu đã nhập
2. Đăng ký thành công
3. Họ tên hiển thị đúng "Phuoc123" và "Le_@#"</t>
  </si>
  <si>
    <t>AUTH_REG_Field_03</t>
  </si>
  <si>
    <t>Pre-condition:
+ Chưa đăng nhập, đang ở trang Register
+ Dùng email chưa đăng ký (mỗi lần test dùng email mới, ví dụ phuoc.test01@example.com)
+ Dữ liệu hợp lệ: First name "Phuoc", Last name "Le", Password và Confirm password "Test@123456"
Step:
1. Nhập Company name "A&amp;B &lt;Co.&gt; 'Ltd'", các trường còn lại hợp lệ
2. Click [REGISTER]
3. Click [My account] &gt; [Customer info]</t>
  </si>
  <si>
    <t>1. Các ô hiển thị đúng dữ liệu đã nhập
2. Đăng ký thành công
3. Company name hiển thị đúng dạng văn bản, không bị hiểu thành HTML</t>
  </si>
  <si>
    <t>AUTH_REG_News_01</t>
  </si>
  <si>
    <t>Pre-condition:
+ Chưa đăng nhập, đang ở trang Register
+ Dùng email chưa đăng ký (mỗi lần test dùng email mới, ví dụ phuoc.test01@example.com)
+ Dữ liệu hợp lệ: First name "Phuoc", Last name "Le", Password và Confirm password "Test@123456"
+ Có tài khoản admin demo (https://admin-demo.nopcommerce.com/admin/)
Step:
1. Nhập dữ liệu hợp lệ, giữ Newsletter được tích sẵn, click [REGISTER]
2. Admin mở [Promotions] &gt; [Newsletter subscribers], tìm email vừa đăng ký</t>
  </si>
  <si>
    <t>1. Hiển thị "Your registration completed"
2. Email xuất hiện trong danh sách subscriber</t>
  </si>
  <si>
    <t>AUTH_REG_News_02</t>
  </si>
  <si>
    <t>Pre-condition:
+ Chưa đăng nhập, đang ở trang Register
+ Dùng email chưa đăng ký (mỗi lần test dùng email mới, ví dụ phuoc.test01@example.com)
+ Dữ liệu hợp lệ: First name "Phuoc", Last name "Le", Password và Confirm password "Test@123456"
+ Có tài khoản admin demo (https://admin-demo.nopcommerce.com/admin/)
Step:
1. Nhập dữ liệu hợp lệ, bỏ tích Newsletter, click [REGISTER]
2. Admin mở [Promotions] &gt; [Newsletter subscribers], tìm email vừa đăng ký</t>
  </si>
  <si>
    <t>1. Hiển thị "Your registration completed"
2. Email không xuất hiện trong danh sách subscriber</t>
  </si>
  <si>
    <t>AUTH_REG_News_03</t>
  </si>
  <si>
    <t>Pre-condition:
+ Chưa đăng nhập, đang ở trang Register
+ Dùng email chưa đăng ký (mỗi lần test dùng email mới, ví dụ phuoc.test01@example.com)
+ Dữ liệu hợp lệ: First name "Phuoc", Last name "Le", Password và Confirm password "Test@123456"
+ Có tài khoản admin demo (https://admin-demo.nopcommerce.com/admin/)
Step:
1. Đăng ký thành công với Newsletter bỏ tích
2. Vào [My account] &gt; [Customer info], tích [Newsletter], click [Save]
3. Admin kiểm tra [Promotions] &gt; [Newsletter subscribers]
4. Vào [Customer info], bỏ tích [Newsletter], click [Save]
5. Admin kiểm tra lại [Newsletter subscribers]</t>
  </si>
  <si>
    <t>1. Đăng ký thành công
2. Lưu thành công
3. Email xuất hiện trong danh sách subscriber
4. Lưu thành công
5. Email không còn ở trạng thái Active trong danh sách subscriber</t>
  </si>
  <si>
    <t>AUTH_REG_News_04</t>
  </si>
  <si>
    <t>Pre-condition:
+ Chưa đăng nhập
+ Dùng email chưa đăng ký (mỗi lần test dùng email mới, ví dụ phuoc.test01@example.com)
+ Dữ liệu hợp lệ: First name "Phuoc", Last name "Le", Password và Confirm password "Test@123456"
+ Có tài khoản admin demo (https://admin-demo.nopcommerce.com/admin/)
Step:
1. Ở footer trang chủ, nhập email mới vào ô Newsletter, click [Subscribe]
2. Mở trang Register, đăng ký tài khoản bằng đúng email đó, giữ Newsletter được tích
3. Admin kiểm tra [Promotions] &gt; [Newsletter subscribers]</t>
  </si>
  <si>
    <t>1. Hiển thị thông báo đăng ký newsletter thành công
2. Đăng ký tài khoản thành công
3. Chỉ có 1 bản ghi subscriber cho email đó, không trùng lặp</t>
  </si>
  <si>
    <t>AUTH_REG_Security_01</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</si>
  <si>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"&lt;script&gt;alert(1)&lt;/script&gt;", các trường còn lại hợp lệ
2. Click [REGISTER]
3. Quan sát các nơi hiển thị tên (nếu đăng ký thành công thì mở [Customer info])</t>
  </si>
  <si>
    <t>1. Các ô hiển thị đúng dữ liệu đã nhập
2. Không xuất hiện hộp thoại alert
3. Họ tên (nếu được lưu) hiển thị dưới dạng văn bản, script không bị thực thi</t>
  </si>
  <si>
    <t>AUTH_REG_Security_02</t>
  </si>
  <si>
    <t>Pre-condition:
+ Chưa đăng nhập, đang ở trang Register
+ Dùng email chưa đăng ký (mỗi lần test dùng email mới, ví dụ phuoc.test01@example.com)
+ Dữ liệu hợp lệ: First name "Phuoc", Last name "Le", Password và Confirm password "Test@123456"
Step:
1. Nhập First name "' OR 1=1 --", Last name "'; DROP TABLE Customer; --", các trường còn lại hợp lệ
2. Click [REGISTER]
3. Click [My account] &gt; [Customer info]</t>
  </si>
  <si>
    <t>1. Các ô hiển thị đúng dữ liệu đã nhập
2. Đăng ký thành công; không báo lỗi hệ thống, không lộ thông tin kỹ thuật
3. Họ tên hiển thị đúng như đã nhập (dạng văn bản)</t>
  </si>
  <si>
    <t>AUTH_REG_Security_03</t>
  </si>
  <si>
    <t>Pre-condition:
+ Chưa đăng nhập, đang ở trang Register
+ Dùng email chưa đăng ký (mỗi lần test dùng email mới, ví dụ phuoc.test01@example.com)
+ Dữ liệu hợp lệ: First name "Phuoc", Last name "Le", Password và Confirm password "Test@123456"
Step:
1. Nhập dữ liệu hợp lệ vào form
2. Click [REGISTER] 3 lần liên tiếp thật nhanh</t>
  </si>
  <si>
    <t>1. Các ô hiển thị đúng dữ liệu đã nhập
2. Chỉ tạo 1 tài khoản; không báo lỗi hệ thống</t>
  </si>
  <si>
    <t>AUTH_REG_Security_04</t>
  </si>
  <si>
    <t>Pre-condition:
+ Chưa đăng nhập, đang ở trang Register
+ Dùng email chưa đăng ký (mỗi lần test dùng email mới, ví dụ phuoc.test01@example.com)
+ Dữ liệu hợp lệ: First name "Phuoc", Last name "Le", Password và Confirm password "Test@123456"
Step:
1. Đăng ký thành công, đang ở màn hình "Your registration completed"
2. Nhấn F5 và chọn gửi lại dữ liệu</t>
  </si>
  <si>
    <t>1. Hiển thị "Your registration completed"
2. Không tạo thêm tài khoản; không báo lỗi hệ thống</t>
  </si>
  <si>
    <t>AUTH_REG_Security_05</t>
  </si>
  <si>
    <t>Pre-condition:
+ Chưa đăng nhập, đang ở trang Register
+ Dùng email chưa đăng ký (mỗi lần test dùng email mới, ví dụ phuoc.test01@example.com)
+ Dữ liệu hợp lệ: First name "Phuoc", Last name "Le", Password và Confirm password "Test@123456"
Step:
1. Đăng ký thành công, click [Continue]
2. Nhấn nút Back của trình duyệt</t>
  </si>
  <si>
    <t>1. Về trang chủ, đã ở trạng thái đăng nhập
2. Không tạo thêm tài khoản; các ô Password và Confirm password không chứa mật khẩu đã nhập</t>
  </si>
  <si>
    <t>AUTH_REG_Security_06</t>
  </si>
  <si>
    <t>Pre-condition:
+ Chưa đăng nhập, đang ở trang Register
+ Dùng email chưa đăng ký (mỗi lần test dùng email mới, ví dụ phuoc.test01@example.com)
+ Dữ liệu hợp lệ: First name "Phuoc", Last name "Le", Password và Confirm password "Test@123456"
Step:
1. Nhập dữ liệu hợp lệ, click [REGISTER]
2. Quan sát thanh địa chỉ</t>
  </si>
  <si>
    <t>1. Đăng ký thành công
2. URL không chứa email hoặc mật khẩu (dữ liệu gửi bằng POST)</t>
  </si>
  <si>
    <t>AUTH_REG_Security_07</t>
  </si>
  <si>
    <t>1. Mở trang Register
2. Quan sát biểu tượng ổ khóa trên thanh địa chỉ</t>
  </si>
  <si>
    <t>1. Hiển thị trang Register
2. Trang dùng HTTPS, chứng chỉ hợp lệ, không có cảnh báo nội dung hỗn hợp</t>
  </si>
  <si>
    <t>AUTH_REG_Link_01</t>
  </si>
  <si>
    <t>Pre-condition:
+ Chưa đăng nhập, đang ở trang Register
Step:
1. Click [Log in] trên header</t>
  </si>
  <si>
    <t>1. Chuyển sang trang đăng nhập (URL /login)</t>
  </si>
  <si>
    <t>AUTH_REG_Link_02</t>
  </si>
  <si>
    <t>Pre-condition:
+ Chưa đăng nhập, đang ở trang Register
Step:
1. Nhập một phần dữ liệu vào form
2. Click logo nopCommerce</t>
  </si>
  <si>
    <t>1. Dữ liệu hiển thị trong form
2. Chuyển về trang chủ; không tạo tài khoản</t>
  </si>
  <si>
    <t>AUTH_LOGIN_View_01</t>
  </si>
  <si>
    <t>Pre-condition:
+ Chưa đăng nhập
+ Có sẵn tài khoản khách hàng hợp lệ (đã đăng ký ở các case REG_Success)
Step:
1. Mở https://demo.nopcommerce.com/
2. Click [Log in] ở góc trên bên phải</t>
  </si>
  <si>
    <t>1. Trang chủ hiển thị
2. Hiển thị trang Welcome, Please Sign In gồm khối Returning Customer (Email, Password, Remember me, Forgot password?, [Log in]) và khối New Customer (nút [Register])</t>
  </si>
  <si>
    <t>AUTH_LOGIN_View_02</t>
  </si>
  <si>
    <t>1. Quan sát trang đăng nhập trên desktop và mobile</t>
  </si>
  <si>
    <t>1. Bố cục đúng, ô Password ẩn ký tự, không vỡ giao diện</t>
  </si>
  <si>
    <t>AUTH_LOGIN_View_03</t>
  </si>
  <si>
    <t>1. Click [Register] ở khối New Customer</t>
  </si>
  <si>
    <t>1. Chuyển sang trang đăng ký</t>
  </si>
  <si>
    <t>AUTH_LOGIN_Success_01</t>
  </si>
  <si>
    <t>1. Mở https://demo.nopcommerce.com/login
2. Nhập Email và Password đúng
3. Click [Log in]</t>
  </si>
  <si>
    <t>1. Hiển thị form
2. Dữ liệu đúng
3. Đăng nhập thành công, chuyển về trang chủ; header hiển thị [My account], [Log out]; không còn [Register] / [Log in]</t>
  </si>
  <si>
    <t>AUTH_LOGIN_Success_02</t>
  </si>
  <si>
    <t>1. Tích [Remember me], đăng nhập thành công
2. Đóng và mở lại trình duyệt, vào trang chủ</t>
  </si>
  <si>
    <t>1. Đăng nhập thành công
2. Vẫn ở trạng thái đăng nhập (nếu không tích thì phải đăng nhập lại)</t>
  </si>
  <si>
    <t>AUTH_LOGIN_Success_03</t>
  </si>
  <si>
    <t>1. Nhập Email viết hoa toàn bộ, Password đúng
2. Click [Log in]</t>
  </si>
  <si>
    <t>1. Đăng nhập thành công (email không phân biệt hoa thường)</t>
  </si>
  <si>
    <t>AUTH_LOGIN_Success_04</t>
  </si>
  <si>
    <t>1. Nhập Email có khoảng trắng đầu / cuối, Password đúng
2. Click [Log in]</t>
  </si>
  <si>
    <t>1. Hệ thống cắt khoảng trắng và đăng nhập thành công, hoặc báo lỗi (ghi nhận hành vi thực tế)</t>
  </si>
  <si>
    <t>AUTH_LOGIN_Success_05</t>
  </si>
  <si>
    <t>1. Nhập Email, Password, nhấn Enter</t>
  </si>
  <si>
    <t>1. Form được gửi, đăng nhập thành công</t>
  </si>
  <si>
    <t>AUTH_LOGIN_Success_06</t>
  </si>
  <si>
    <t>1. Chưa đăng nhập, vào trang chi tiết một sản phẩm
2. Click [Add to wishlist] hoặc link yêu cầu đăng nhập rồi đăng nhập</t>
  </si>
  <si>
    <t>1. Sau khi đăng nhập, hệ thống chuyển đúng về trang trước đó (nếu có ReturnUrl) hoặc trang chủ</t>
  </si>
  <si>
    <t>AUTH_LOGIN_Fail_01</t>
  </si>
  <si>
    <t>1. Nhập Email đúng, Password sai
2. Click [Log in]</t>
  </si>
  <si>
    <t>1. Hiển thị thông báo đăng nhập không thành công, thông tin đăng nhập không đúng; vẫn ở trang đăng nhập</t>
  </si>
  <si>
    <t>AUTH_LOGIN_Fail_02</t>
  </si>
  <si>
    <t>1. Nhập Email chưa tồn tại, Password bất kỳ
2. Click [Log in]</t>
  </si>
  <si>
    <t>1. Hiển thị thông báo không tìm thấy tài khoản; không đăng nhập</t>
  </si>
  <si>
    <t>AUTH_LOGIN_Fail_03</t>
  </si>
  <si>
    <t>1. Để trống Email, nhập Password
2. Click [Log in]</t>
  </si>
  <si>
    <t>1. Hiển thị thông báo yêu cầu nhập email ("Please enter your email")</t>
  </si>
  <si>
    <t>AUTH_LOGIN_Fail_04</t>
  </si>
  <si>
    <t>1. Nhập Email đúng, để trống Password
2. Click [Log in]</t>
  </si>
  <si>
    <t>1. Hiển thị thông báo đăng nhập không thành công (thiếu mật khẩu); không đăng nhập</t>
  </si>
  <si>
    <t>AUTH_LOGIN_Fail_05</t>
  </si>
  <si>
    <t>1. Không nhập gì, click [Log in]</t>
  </si>
  <si>
    <t>1. Hiển thị thông báo yêu cầu nhập email; không đăng nhập</t>
  </si>
  <si>
    <t>AUTH_LOGIN_Fail_06</t>
  </si>
  <si>
    <t>1. Nhập Email "abc", Password bất kỳ
2. Click [Log in]</t>
  </si>
  <si>
    <t>1. Hiển thị thông báo "Wrong email"; không đăng nhập</t>
  </si>
  <si>
    <t>AUTH_LOGIN_Fail_07</t>
  </si>
  <si>
    <t>1. Nhập Email đúng, Password đúng nhưng đổi chữ hoa/thường
2. Click [Log in]</t>
  </si>
  <si>
    <t>1. Đăng nhập không thành công (mật khẩu phân biệt hoa thường)</t>
  </si>
  <si>
    <t>AUTH_LOGIN_Security_01</t>
  </si>
  <si>
    <t>1. Nhập Email ' OR 1=1 --, Password ' OR 1=1 --
2. Click [Log in]</t>
  </si>
  <si>
    <t>1. Không đăng nhập được; không lỗi hệ thống, không lộ thông tin kỹ thuật</t>
  </si>
  <si>
    <t>AUTH_LOGIN_Security_02</t>
  </si>
  <si>
    <t>1. Nhập Password sai 5-10 lần liên tiếp
2. Sau đó nhập Password đúng</t>
  </si>
  <si>
    <t>1. Mỗi lần sai đều báo lỗi; tài khoản có bị khóa tạm thời hay không tùy cấu hình (ghi nhận hành vi thực tế)</t>
  </si>
  <si>
    <t>AUTH_LOGIN_Forgot_01</t>
  </si>
  <si>
    <t>1. Click [Forgot password?] ở trang đăng nhập
2. Nhập Email đã đăng ký, click [Recover]
3. Nhập Email chưa đăng ký, click [Recover]</t>
  </si>
  <si>
    <t>1. Hiển thị trang Password recovery
2. Hiển thị thông báo đã gửi hướng dẫn khôi phục qua email
3. Hiển thị thông báo email không tồn tại</t>
  </si>
  <si>
    <t>AUTH_LOGIN_Logout_01</t>
  </si>
  <si>
    <t>1. Đăng nhập thành công
2. Click [Log out]
3. Click nút Back của trình duyệt</t>
  </si>
  <si>
    <t>1. Đăng nhập thành công
2. Đăng xuất, quay về trang chủ; header hiển thị lại [Register], [Log in]
3. Không vào lại được các trang tài khoản như [My account] mà không đăng nhập</t>
  </si>
  <si>
    <t>AUTH_LOGIN_Logout_02</t>
  </si>
  <si>
    <t>1. Chưa đăng nhập, mở trực tiếp URL /customer/info</t>
  </si>
  <si>
    <t>1. Chuyển về trang đăng nhập hoặc báo cần đăng nhập</t>
  </si>
  <si>
    <t>Admin - Promotions - Discounts</t>
  </si>
  <si>
    <t>Khuyến mãi (Promotions) - Discounts: danh sách discount trên trang admin</t>
  </si>
  <si>
    <t>PROMO_DIS_View_01</t>
  </si>
  <si>
    <t>Pre-condition:
+ Đã đăng nhập trang admin demo (https://admin-demo.nopcommerce.com/admin/)
+ Đang ở trang Dashboard
Step:
1. Click menu [Promotions] ở thanh bên trái
2. Click [Discounts]</t>
  </si>
  <si>
    <t>1. Menu Promotions mở rộng, gồm Discounts, Affiliates, Newsletter subscribers, Subscription types, Campaigns
2. Hiển thị trang Discounts (URL /Admin/Discount/List), mục Discounts được làm nổi bật trong menu, tiêu đề trang là "Discounts"</t>
  </si>
  <si>
    <t>PROMO_DIS_View_02</t>
  </si>
  <si>
    <t>Pre-condition:
+ Đã đăng nhập trang admin demo (https://admin-demo.nopcommerce.com/admin/)
Step:
1. Nhập URL https://admin-demo.nopcommerce.com/Admin/Discount/List vào thanh địa chỉ
2. Quan sát header và menu bên trái</t>
  </si>
  <si>
    <t>1. Hiển thị trang Discounts
2. Header có tên tài khoản và [Logout]; menu Promotions mở sẵn và mục Discounts được chọn</t>
  </si>
  <si>
    <t>PROMO_DIS_View_03</t>
  </si>
  <si>
    <t>Pre-condition:
+ Đã đăng nhập trang admin demo (https://admin-demo.nopcommerce.com/admin/)
+ Đang ở trang Promotions &gt; Discounts, chưa nhập tiêu chí tìm kiếm
Step:
1. Quan sát thanh thông báo màu vàng phía trên tiêu đề
2. Click dấu x ở góc phải thanh thông báo</t>
  </si>
  <si>
    <t>1. Hiển thị nội dung "In order to use this functionality, you have to disable the following setting: Configuration &gt; Catalog settings &gt; Ignore discounts (sitewide)."
2. Thông báo được đóng, các phần còn lại của trang giữ nguyên</t>
  </si>
  <si>
    <t>PROMO_DIS_View_04</t>
  </si>
  <si>
    <t>Pre-condition:
+ Đã đăng nhập trang admin demo (https://admin-demo.nopcommerce.com/admin/)
+ Đang ở trang Promotions &gt; Discounts, chưa nhập tiêu chí tìm kiếm
Step:
1. Quan sát khối Search</t>
  </si>
  <si>
    <t>1. Khối Search có các trường Start date, End date, Discount type, Vendor, Coupon code, Discount name, Is active và nút [Search]; mỗi nhãn có biểu tượng (?)</t>
  </si>
  <si>
    <t>PROMO_DIS_View_05</t>
  </si>
  <si>
    <t>Pre-condition:
+ Đã đăng nhập trang admin demo (https://admin-demo.nopcommerce.com/admin/)
+ Đang ở trang Promotions &gt; Discounts, chưa nhập tiêu chí tìm kiếm
Step:
1. Mở trang Discounts mới (chưa nhập gì)
2. Quan sát giá trị mặc định của từng trường</t>
  </si>
  <si>
    <t>1. Hiển thị trang Discounts
2. Start date, End date hiển thị placeholder định dạng ngày; Coupon code, Discount name để trống; Discount type, Vendor, Is active đều là "All"</t>
  </si>
  <si>
    <t>PROMO_DIS_View_06</t>
  </si>
  <si>
    <t>Pre-condition:
+ Đã đăng nhập trang admin demo (https://admin-demo.nopcommerce.com/admin/)
+ Đang ở trang Promotions &gt; Discounts, chưa nhập tiêu chí tìm kiếm
Step:
1. Rê chuột vào biểu tượng (?) cạnh từng nhãn trong khối Search</t>
  </si>
  <si>
    <t>1. Mỗi biểu tượng hiển thị mô tả ngắn của trường, nội dung không bị cắt hoặc che khuất</t>
  </si>
  <si>
    <t>PROMO_DIS_View_07</t>
  </si>
  <si>
    <t>Pre-condition:
+ Đã đăng nhập trang admin demo (https://admin-demo.nopcommerce.com/admin/)
+ Đang ở trang Promotions &gt; Discounts, chưa nhập tiêu chí tìm kiếm
Step:
1. Nhập "sample" vào Discount name
2. Click mũi tên ở góc phải tiêu đề khối Search
3. Click mũi tên lần nữa</t>
  </si>
  <si>
    <t>1. Discount name hiển thị "sample"
2. Khối Search được thu gọn, bảng kết quả vẫn hiển thị
3. Khối Search mở rộng lại, giá trị "sample" vẫn còn trong ô Discount name</t>
  </si>
  <si>
    <t>PROMO_DIS_View_08</t>
  </si>
  <si>
    <t>Pre-condition:
+ Đã đăng nhập trang admin demo (https://admin-demo.nopcommerce.com/admin/)
+ Đang ở trang Promotions &gt; Discounts, chưa nhập tiêu chí tìm kiếm
Step:
1. Quan sát bảng danh sách discount</t>
  </si>
  <si>
    <t>1. Bảng có các cột Name, Discount type, Discount, Start date, End date, Times used, Is active, Edit; phía trên bảng có liên kết "Learn more about discounts"</t>
  </si>
  <si>
    <t>PROMO_DIS_View_09</t>
  </si>
  <si>
    <t>Pre-condition:
+ Đã đăng nhập trang admin demo (https://admin-demo.nopcommerce.com/admin/)
+ Đang ở trang Promotions &gt; Discounts, chưa nhập tiêu chí tìm kiếm
Step:
1. Quan sát các dòng trong bảng và thông tin phân trang</t>
  </si>
  <si>
    <t>1. Hiển thị 2 dòng: "'20% order total' discount" (Assigned to order total, 20%, 11/04/2020 10:32:26 AM, 11/04/2030 10:32:26 AM, Times used 0, Is active có dấu ✓) và "Sample discount with coupon code" (Assigned to products, 10 USD, cùng Start date / End date, Times used 0, Is active có dấu ✓); thông tin phân trang "1-2 of 2 items"</t>
  </si>
  <si>
    <t>PROMO_DIS_View_10</t>
  </si>
  <si>
    <t>Pre-condition:
+ Đã đăng nhập trang admin demo (https://admin-demo.nopcommerce.com/admin/)
+ Đang ở trang Promotions &gt; Discounts, chưa nhập tiêu chí tìm kiếm
Step:
1. Quan sát giá trị cột Discount của 2 dòng</t>
  </si>
  <si>
    <t>1. Discount dạng phần trăm hiển thị "20%"; discount dạng số tiền hiển thị kèm loại tiền "10 USD"</t>
  </si>
  <si>
    <t>PROMO_DIS_View_11</t>
  </si>
  <si>
    <t>Pre-condition:
+ Đã đăng nhập trang admin demo (https://admin-demo.nopcommerce.com/admin/)
+ Đang ở trang Promotions &gt; Discounts, chưa nhập tiêu chí tìm kiếm
Step:
1. Xem trang trên desktop
2. Thu nhỏ trình duyệt về kích thước mobile</t>
  </si>
  <si>
    <t>1. Bố cục đúng, khối Search và bảng thẳng hàng, nút [Add new] hiển thị ở góc phải
2. Trang co giãn đúng, không vỡ giao diện; nút [Search], [Add new], [Edit] vẫn thao tác được</t>
  </si>
  <si>
    <t>PROMO_DIS_Search_01</t>
  </si>
  <si>
    <t>Pre-condition:
+ Đã đăng nhập trang admin demo (https://admin-demo.nopcommerce.com/admin/)
+ Đang ở trang Promotions &gt; Discounts, chưa nhập tiêu chí tìm kiếm
Step:
1. Nhập "'20% order total' discount" vào Discount name
2. Click [Search]</t>
  </si>
  <si>
    <t>1. Dữ liệu được nhập đúng
2. Bảng chỉ còn 1 dòng "'20% order total' discount"; thông tin phân trang "1-1 of 1 items"</t>
  </si>
  <si>
    <t>PROMO_DIS_Search_02</t>
  </si>
  <si>
    <t>Pre-condition:
+ Đã đăng nhập trang admin demo (https://admin-demo.nopcommerce.com/admin/)
+ Đang ở trang Promotions &gt; Discounts, chưa nhập tiêu chí tìm kiếm
Step:
1. Nhập "sample" (chữ thường) vào Discount name
2. Click [Search]</t>
  </si>
  <si>
    <t>1. Dữ liệu được nhập đúng
2. Bảng chỉ còn 1 dòng "Sample discount with coupon code" (tìm theo chuỗi con, không phân biệt hoa thường)</t>
  </si>
  <si>
    <t>PROMO_DIS_Search_03</t>
  </si>
  <si>
    <t>Pre-condition:
+ Đã đăng nhập trang admin demo (https://admin-demo.nopcommerce.com/admin/)
+ Đang ở trang Promotions &gt; Discounts, chưa nhập tiêu chí tìm kiếm
Step:
1. Nhập "zzz_khong_ton_tai" vào Discount name
2. Click [Search]</t>
  </si>
  <si>
    <t>1. Dữ liệu được nhập đúng
2. Bảng không có dòng dữ liệu, hiển thị thông báo không có dữ liệu; không báo lỗi hệ thống</t>
  </si>
  <si>
    <t>PROMO_DIS_Search_04</t>
  </si>
  <si>
    <t>Pre-condition:
+ Đã đăng nhập trang admin demo (https://admin-demo.nopcommerce.com/admin/)
+ Đang ở trang Promotions &gt; Discounts, chưa nhập tiêu chí tìm kiếm
Step:
1. Click [Edit] ở dòng "Sample discount with coupon code", ghi lại giá trị Coupon code (không sửa gì), quay lại danh sách Discounts
2. Nhập Coupon code vừa ghi lại vào ô Coupon code
3. Click [Search]</t>
  </si>
  <si>
    <t>1. Lấy được Coupon code, quay lại trang Discounts
2. Dữ liệu được nhập đúng
3. Bảng chỉ còn 1 dòng "Sample discount with coupon code"</t>
  </si>
  <si>
    <t>PROMO_DIS_Search_05</t>
  </si>
  <si>
    <t>Pre-condition:
+ Đã đăng nhập trang admin demo (https://admin-demo.nopcommerce.com/admin/)
+ Đang ở trang Promotions &gt; Discounts, chưa nhập tiêu chí tìm kiếm
Step:
1. Nhập "NOTEXIST999" vào Coupon code
2. Click [Search]</t>
  </si>
  <si>
    <t>PROMO_DIS_Search_06</t>
  </si>
  <si>
    <t>Pre-condition:
+ Đã đăng nhập trang admin demo (https://admin-demo.nopcommerce.com/admin/)
+ Đang ở trang Promotions &gt; Discounts, chưa nhập tiêu chí tìm kiếm
Step:
1. Click ô chọn Discount type</t>
  </si>
  <si>
    <t>1. Danh sách gồm "All" và các loại giảm giá như Assigned to order total, Assigned to products, Assigned to categories, Assigned to manufacturers, Assigned to order subtotal, Assigned to shipping</t>
  </si>
  <si>
    <t>PROMO_DIS_Search_07</t>
  </si>
  <si>
    <t>Pre-condition:
+ Đã đăng nhập trang admin demo (https://admin-demo.nopcommerce.com/admin/)
+ Đang ở trang Promotions &gt; Discounts, chưa nhập tiêu chí tìm kiếm
Step:
1. Chọn Discount type "Assigned to order total"
2. Click [Search]</t>
  </si>
  <si>
    <t>1. Discount type hiển thị "Assigned to order total"
2. Bảng chỉ còn dòng "'20% order total' discount"</t>
  </si>
  <si>
    <t>PROMO_DIS_Search_08</t>
  </si>
  <si>
    <t>Pre-condition:
+ Đã đăng nhập trang admin demo (https://admin-demo.nopcommerce.com/admin/)
+ Đang ở trang Promotions &gt; Discounts, chưa nhập tiêu chí tìm kiếm
Step:
1. Chọn Discount type "Assigned to products"
2. Click [Search]</t>
  </si>
  <si>
    <t>1. Discount type hiển thị "Assigned to products"
2. Bảng chỉ còn dòng "Sample discount with coupon code"</t>
  </si>
  <si>
    <t>PROMO_DIS_Search_09</t>
  </si>
  <si>
    <t>Pre-condition:
+ Đã đăng nhập trang admin demo (https://admin-demo.nopcommerce.com/admin/)
+ Đang ở trang Promotions &gt; Discounts, chưa nhập tiêu chí tìm kiếm
Step:
1. Click ô chọn Is active, quan sát danh sách giá trị
2. Chọn "Active only", click [Search]</t>
  </si>
  <si>
    <t>1. Danh sách gồm "All", "Active only", "Inactive only"
2. Bảng chỉ hiển thị các discount đang active (cả 2 dòng mặc định đều có dấu ✓)</t>
  </si>
  <si>
    <t>PROMO_DIS_Search_10</t>
  </si>
  <si>
    <t>Pre-condition:
+ Đã đăng nhập trang admin demo (https://admin-demo.nopcommerce.com/admin/)
+ Đang ở trang Promotions &gt; Discounts, chưa nhập tiêu chí tìm kiếm
Step:
1. Chọn Is active "Inactive only"
2. Click [Search]</t>
  </si>
  <si>
    <t>1. Is active hiển thị "Inactive only"
2. Bảng không có dòng nào (2 discount mặc định đều đang active); không báo lỗi hệ thống</t>
  </si>
  <si>
    <t>PROMO_DIS_Search_11</t>
  </si>
  <si>
    <t>Pre-condition:
+ Đã đăng nhập trang admin demo (https://admin-demo.nopcommerce.com/admin/)
+ Đang ở trang Promotions &gt; Discounts, chưa nhập tiêu chí tìm kiếm
Step:
1. Nhập Start date 01/01/2019, click [Search]
2. Đổi Start date thành 01/01/2025, click [Search]</t>
  </si>
  <si>
    <t>1. Bảng hiển thị cả 2 discount (đều bắt đầu năm 2020, sau mốc đã chọn)
2. Bảng không có dòng nào vì cả 2 discount bắt đầu trước mốc đã chọn</t>
  </si>
  <si>
    <t>PROMO_DIS_Search_12</t>
  </si>
  <si>
    <t>Pre-condition:
+ Đã đăng nhập trang admin demo (https://admin-demo.nopcommerce.com/admin/)
+ Đang ở trang Promotions &gt; Discounts, chưa nhập tiêu chí tìm kiếm
Step:
1. Nhập End date 31/12/2035, click [Search]
2. Đổi End date thành 01/01/2025, click [Search]</t>
  </si>
  <si>
    <t>1. Bảng hiển thị cả 2 discount (đều kết thúc năm 2030, trước mốc đã chọn)
2. Bảng không có dòng nào vì cả 2 discount kết thúc sau mốc đã chọn</t>
  </si>
  <si>
    <t>PROMO_DIS_Search_13</t>
  </si>
  <si>
    <t>Pre-condition:
+ Đã đăng nhập trang admin demo (https://admin-demo.nopcommerce.com/admin/)
+ Đang ở trang Promotions &gt; Discounts, chưa nhập tiêu chí tìm kiếm
Step:
1. Nhập Start date 01/01/2019 và End date 31/12/2035
2. Click [Search]</t>
  </si>
  <si>
    <t>1. Dữ liệu được nhập đúng
2. Bảng hiển thị cả 2 discount nằm trong khoảng thời gian đã chọn</t>
  </si>
  <si>
    <t>PROMO_DIS_Search_14</t>
  </si>
  <si>
    <t>Pre-condition:
+ Đã đăng nhập trang admin demo (https://admin-demo.nopcommerce.com/admin/)
+ Đang ở trang Promotions &gt; Discounts, chưa nhập tiêu chí tìm kiếm
Step:
1. Nhập Start date 01/01/2035 và End date 01/01/2019
2. Click [Search]</t>
  </si>
  <si>
    <t>1. Dữ liệu được nhập đúng
2. Bảng không có dòng nào; không báo lỗi hệ thống</t>
  </si>
  <si>
    <t>PROMO_DIS_Search_15</t>
  </si>
  <si>
    <t>Pre-condition:
+ Đã đăng nhập trang admin demo (https://admin-demo.nopcommerce.com/admin/)
+ Đang ở trang Promotions &gt; Discounts, chưa nhập tiêu chí tìm kiếm
Step:
1. Click ô chọn Vendor, quan sát danh sách
2. Chọn một vendor (nếu có), click [Search]</t>
  </si>
  <si>
    <t>1. Danh sách gồm "All" và các vendor hiện có
2. Bảng chỉ hiển thị discount thuộc vendor đã chọn, hoặc không có dòng nào nếu vendor đó chưa có discount; không báo lỗi hệ thống</t>
  </si>
  <si>
    <t>PROMO_DIS_Search_16</t>
  </si>
  <si>
    <t>Pre-condition:
+ Đã đăng nhập trang admin demo (https://admin-demo.nopcommerce.com/admin/)
+ Đang ở trang Promotions &gt; Discounts, chưa nhập tiêu chí tìm kiếm
Step:
1. Nhập Discount name "discount", chọn Discount type "Assigned to order total", chọn Is active "Active only"
2. Click [Search]</t>
  </si>
  <si>
    <t>1. Các tiêu chí hiển thị đúng như đã chọn
2. Bảng chỉ còn dòng "'20% order total' discount"</t>
  </si>
  <si>
    <t>PROMO_DIS_Search_17</t>
  </si>
  <si>
    <t>Pre-condition:
+ Đã đăng nhập trang admin demo (https://admin-demo.nopcommerce.com/admin/)
+ Đang ở trang Promotions &gt; Discounts, chưa nhập tiêu chí tìm kiếm
Step:
1. Nhập Discount name "20%", chọn Discount type "Assigned to products"
2. Click [Search]</t>
  </si>
  <si>
    <t>1. Các tiêu chí hiển thị đúng như đã chọn
2. Bảng không có dòng nào; không báo lỗi hệ thống</t>
  </si>
  <si>
    <t>PROMO_DIS_Search_18</t>
  </si>
  <si>
    <t>Pre-condition:
+ Đã đăng nhập trang admin demo (https://admin-demo.nopcommerce.com/admin/)
+ Đang ở trang Promotions &gt; Discounts, chưa nhập tiêu chí tìm kiếm
Step:
1. Nhập Discount name "sample", click [Search]
2. Xóa nội dung Discount name, click [Search]</t>
  </si>
  <si>
    <t>1. Bảng chỉ còn 1 dòng
2. Bảng hiển thị lại đủ danh sách discount (2 dòng mặc định)</t>
  </si>
  <si>
    <t>PROMO_DIS_Search_19</t>
  </si>
  <si>
    <t>Pre-condition:
+ Đã đăng nhập trang admin demo (https://admin-demo.nopcommerce.com/admin/)
+ Đang ở trang Promotions &gt; Discounts, chưa nhập tiêu chí tìm kiếm
Step:
1. Nhập "sample" vào Discount name
2. Nhấn Enter</t>
  </si>
  <si>
    <t>1. Dữ liệu được nhập đúng
2. Thực hiện tìm kiếm như khi click [Search] (hoặc không phản hồi - ghi nhận hành vi thực tế)</t>
  </si>
  <si>
    <t>PROMO_DIS_Search_20</t>
  </si>
  <si>
    <t>Pre-condition:
+ Đã đăng nhập trang admin demo (https://admin-demo.nopcommerce.com/admin/)
+ Đang ở trang Promotions &gt; Discounts, chưa nhập tiêu chí tìm kiếm
Step:
1. Nhập "  sample  " (có khoảng trắng đầu và cuối) vào Discount name
2. Click [Search]</t>
  </si>
  <si>
    <t>1. Dữ liệu được nhập đúng
2. Hệ thống cắt khoảng trắng và hiển thị kết quả của "sample", hoặc không có kết quả (ghi nhận hành vi thực tế); không báo lỗi hệ thống</t>
  </si>
  <si>
    <t>PROMO_DIS_Grid_01</t>
  </si>
  <si>
    <t>Pre-condition:
+ Đã đăng nhập trang admin demo (https://admin-demo.nopcommerce.com/admin/)
+ Đang ở trang Promotions &gt; Discounts, chưa nhập tiêu chí tìm kiếm
Step:
1. Quan sát cột Is active của dòng đầu tiên
2. Click [Edit] ở dòng đó, quan sát ô Is active (không sửa gì)</t>
  </si>
  <si>
    <t>1. Cột Is active hiển thị dấu ✓
2. Trang Edit hiển thị ô Is active được chọn, khớp với bảng</t>
  </si>
  <si>
    <t>PROMO_DIS_Grid_02</t>
  </si>
  <si>
    <t>Pre-condition:
+ Đã đăng nhập trang admin demo (https://admin-demo.nopcommerce.com/admin/)
+ Đang ở trang Promotions &gt; Discounts, chưa nhập tiêu chí tìm kiếm
Step:
1. Ghi lại Name, Discount type, Discount, Start date, End date của dòng "Sample discount with coupon code"
2. Click [Edit] ở dòng đó và đối chiếu (không lưu thay đổi)</t>
  </si>
  <si>
    <t>1. Dữ liệu được ghi lại
2. Mở trang Edit đúng discount (URL /Admin/Discount/Edit/{id}), các giá trị khớp với bảng</t>
  </si>
  <si>
    <t>PROMO_DIS_Page_01</t>
  </si>
  <si>
    <t>Pre-condition:
+ Đã đăng nhập trang admin demo (https://admin-demo.nopcommerce.com/admin/)
+ Đang ở trang Promotions &gt; Discounts, chưa nhập tiêu chí tìm kiếm
Step:
1. Quan sát ô Show dưới bảng
2. Click ô Show, quan sát danh sách</t>
  </si>
  <si>
    <t>1. Giá trị mặc định là 15
2. Danh sách gồm các mức số dòng mỗi trang (ví dụ 7, 15, 20, 50, 100)</t>
  </si>
  <si>
    <t>PROMO_DIS_Page_02</t>
  </si>
  <si>
    <t>Pre-condition:
+ Đã đăng nhập trang admin demo (https://admin-demo.nopcommerce.com/admin/)
+ Đang ở trang Promotions &gt; Discounts, chưa nhập tiêu chí tìm kiếm
Step:
1. Chọn Show = 7
2. Chọn Show = 100</t>
  </si>
  <si>
    <t>1. Bảng vẫn hiển thị đủ 2 dòng, thông tin phân trang "1-2 of 2 items", không có trang 2
2. Bảng vẫn hiển thị đủ 2 dòng, không báo lỗi hệ thống</t>
  </si>
  <si>
    <t>PROMO_DIS_Page_03</t>
  </si>
  <si>
    <t>Pre-condition:
+ Đã đăng nhập trang admin demo (https://admin-demo.nopcommerce.com/admin/)
+ Đang ở trang Promotions &gt; Discounts, chưa nhập tiêu chí tìm kiếm
Step:
1. Quan sát thanh phân trang
2. Click [Previous], sau đó click [Next]</t>
  </si>
  <si>
    <t>1. Chỉ có trang 1 được chọn; [Previous] và [Next] ở trạng thái vô hiệu hóa
2. Không đổi trang, dữ liệu bảng không thay đổi</t>
  </si>
  <si>
    <t>PROMO_DIS_Page_04</t>
  </si>
  <si>
    <t>Pre-condition:
+ Đã đăng nhập trang admin demo (https://admin-demo.nopcommerce.com/admin/)
+ Đang ở trang Promotions &gt; Discounts, chưa nhập tiêu chí tìm kiếm
Step:
1. Nhập Discount name "sample", click [Search]
2. Click nút làm mới ở góc phải dưới bảng</t>
  </si>
  <si>
    <t>1. Bảng chỉ còn 1 dòng
2. Bảng tải lại, vẫn áp dụng tiêu chí đang nhập (1 dòng); không báo lỗi hệ thống</t>
  </si>
  <si>
    <t>PROMO_DIS_Nav_01</t>
  </si>
  <si>
    <t>Pre-condition:
+ Đã đăng nhập trang admin demo (https://admin-demo.nopcommerce.com/admin/)
+ Đang ở trang Promotions &gt; Discounts, chưa nhập tiêu chí tìm kiếm
Step:
1. Click [Add new] ở góc phải trên cùng</t>
  </si>
  <si>
    <t>1. Chuyển sang trang thêm discount mới (URL /Admin/Discount/Create); không tạo discount nào</t>
  </si>
  <si>
    <t>PROMO_DIS_Nav_02</t>
  </si>
  <si>
    <t>Pre-condition:
+ Đã đăng nhập trang admin demo (https://admin-demo.nopcommerce.com/admin/)
+ Đang ở trang Promotions &gt; Discounts, chưa nhập tiêu chí tìm kiếm
Step:
1. Click [Edit] ở dòng "'20% order total' discount"
2. Click liên kết quay lại danh sách discount (back to discount list)</t>
  </si>
  <si>
    <t>1. Mở trang Edit discount, tên discount đúng với dòng đã chọn
2. Quay lại trang Discounts, bảng vẫn hiển thị danh sách discount</t>
  </si>
  <si>
    <t>PROMO_DIS_Nav_03</t>
  </si>
  <si>
    <t>Pre-condition:
+ Đã đăng nhập trang admin demo (https://admin-demo.nopcommerce.com/admin/)
+ Đang ở trang Promotions &gt; Discounts, chưa nhập tiêu chí tìm kiếm
Step:
1. Click [Affiliates] trong menu Promotions
2. Click [Discounts]</t>
  </si>
  <si>
    <t>1. Hiển thị trang Affiliates
2. Hiển thị lại trang Discounts, mục Discounts được làm nổi bật trong menu</t>
  </si>
  <si>
    <t>PROMO_DIS_Nav_04</t>
  </si>
  <si>
    <t>Pre-condition:
+ Đã đăng nhập trang admin demo (https://admin-demo.nopcommerce.com/admin/)
+ Đang ở trang Promotions &gt; Discounts, chưa nhập tiêu chí tìm kiếm
Step:
1. Click liên kết "discounts" trong dòng "Learn more about discounts"</t>
  </si>
  <si>
    <t>1. Mở trang tài liệu nopCommerce về discounts (docs.nopcommerce.com); trang admin vẫn giữ nguyên</t>
  </si>
  <si>
    <t>PROMO_DIS_Nav_05</t>
  </si>
  <si>
    <t>Pre-condition:
+ Đã đăng nhập trang admin demo (https://admin-demo.nopcommerce.com/admin/)
+ Đang ở trang Promotions &gt; Discounts, chưa nhập tiêu chí tìm kiếm
Step:
1. Nhập Discount name "sample", click [Search]
2. Nhấn F5</t>
  </si>
  <si>
    <t>1. Bảng chỉ còn 1 dòng
2. Trang tải lại, không báo lỗi hệ thống; ghi nhận bộ lọc được giữ hay trở về mặc định</t>
  </si>
  <si>
    <t>PROMO_DIS_Nav_06</t>
  </si>
  <si>
    <t>Pre-condition:
+ Đã đăng nhập trang admin demo (https://admin-demo.nopcommerce.com/admin/)
+ Đang ở trang Promotions &gt; Discounts, chưa nhập tiêu chí tìm kiếm
Step:
1. Click [Edit] ở dòng "'20% order total' discount"
2. Click nút Back của trình duyệt</t>
  </si>
  <si>
    <t>1. Mở trang Edit discount
2. Quay về trang Discounts, vẫn ở trạng thái đăng nhập admin, bảng hiển thị bình thường</t>
  </si>
  <si>
    <t>PROMO_DIS_Security_01</t>
  </si>
  <si>
    <t>Pre-condition:
+ Đã đăng nhập trang admin demo (https://admin-demo.nopcommerce.com/admin/)
+ Đang ở trang Promotions &gt; Discounts, chưa nhập tiêu chí tìm kiếm
Step:
1. Nhập &lt;script&gt;alert(1)&lt;/script&gt; vào Discount name
2. Click [Search]</t>
  </si>
  <si>
    <t>1. Dữ liệu được nhập đúng
2. Không xuất hiện hộp thoại alert, bảng không có dòng nào, không báo lỗi hệ thống</t>
  </si>
  <si>
    <t>PROMO_DIS_Security_02</t>
  </si>
  <si>
    <t>Pre-condition:
+ Đã đăng nhập trang admin demo (https://admin-demo.nopcommerce.com/admin/)
+ Đang ở trang Promotions &gt; Discounts, chưa nhập tiêu chí tìm kiếm
Step:
1. Nhập ' OR 1=1 -- vào Discount name và Coupon code
2. Click [Search]</t>
  </si>
  <si>
    <t>1. Dữ liệu được nhập đúng
2. Không báo lỗi hệ thống, không lộ thông tin kỹ thuật; không trả về dữ liệu ngoài phạm vi tìm kiếm</t>
  </si>
  <si>
    <t>PROMO_DIS_Security_03</t>
  </si>
  <si>
    <t>Pre-condition:
+ Đã đăng nhập trang admin demo (https://admin-demo.nopcommerce.com/admin/)
+ Đang ở trang Promotions &gt; Discounts, chưa nhập tiêu chí tìm kiếm
Step:
1. Nhập chuỗi 500 ký tự "a" vào Discount name
2. Click [Search]</t>
  </si>
  <si>
    <t>1. Dữ liệu được nhập
2. Bảng không có dòng nào; không báo lỗi hệ thống, giao diện không vỡ</t>
  </si>
  <si>
    <t>PROMO_DIS_Security_04</t>
  </si>
  <si>
    <t>Pre-condition:
+ Đã đăng nhập trang admin demo (https://admin-demo.nopcommerce.com/admin/)
+ Đang ở trang Promotions &gt; Discounts, chưa nhập tiêu chí tìm kiếm
Step:
1. Click [Logout] ở góc phải trên cùng
2. Nhập URL https://admin-demo.nopcommerce.com/Admin/Discount/List vào thanh địa chỉ</t>
  </si>
  <si>
    <t>1. Đăng xuất thành công, chuyển về trang đăng nhập admin
2. Không xem được danh sách discount, chuyển về trang đăng nhập admin (URL có ReturnUrl)</t>
  </si>
  <si>
    <t>PROMO_DIS_Security_05</t>
  </si>
  <si>
    <t>Pre-condition:
+ Đã đăng nhập trang admin demo (https://admin-demo.nopcommerce.com/admin/)
+ Đang ở trang Promotions &gt; Discounts, chưa nhập tiêu chí tìm kiếm
Step:
1. Quan sát biểu tượng ổ khóa trên thanh địa chỉ</t>
  </si>
  <si>
    <t>1. Trang dùng HTTPS, chứng chỉ hợp lệ, không có cảnh báo nội dung hỗn hợp</t>
  </si>
  <si>
    <t>Affiliates (Promotions &gt; Affiliates): danh sách affiliate trên trang admin</t>
  </si>
  <si>
    <t>PROMO_AFF_View_01</t>
  </si>
  <si>
    <t>Pre-condition:
+ Đã đăng nhập trang admin demo (https://admin-demo.nopcommerce.com/admin/)
+ Đang ở trang Dashboard
Step:
1. Click menu [Promotions] ở thanh bên trái
2. Click [Affiliates]</t>
  </si>
  <si>
    <t>1. Menu Promotions mở rộng, gồm Discounts, Affiliates, Newsletter subscribers, Subscription types, Campaigns
2. Hiển thị trang Affiliates (URL /Admin/Affiliate/List), mục Affiliates được làm nổi bật trong menu, tiêu đề trang là "Affiliates"</t>
  </si>
  <si>
    <t>PROMO_AFF_View_02</t>
  </si>
  <si>
    <t>Pre-condition:
+ Đã đăng nhập trang admin demo (https://admin-demo.nopcommerce.com/admin/)
Step:
1. Nhập URL https://admin-demo.nopcommerce.com/Admin/Affiliate/List vào thanh địa chỉ
2. Quan sát header và menu bên trái</t>
  </si>
  <si>
    <t>1. Hiển thị trang Affiliates
2. Header có tên tài khoản và [Logout]; menu Promotions mở sẵn và mục Affiliates được chọn</t>
  </si>
  <si>
    <t>PROMO_AFF_View_03</t>
  </si>
  <si>
    <t>Pre-condition:
+ Đã đăng nhập trang admin demo (https://admin-demo.nopcommerce.com/admin/)
+ Đang ở trang Promotions &gt; Affiliates, chưa nhập tiêu chí tìm kiếm
Step:
1. Quan sát phần nội dung phía trên bảng danh sách</t>
  </si>
  <si>
    <t>1. Hiển thị đoạn giải thích về affiliate (bắt đầu bằng "Affiliate is an Internet-based marketing practice...") và liên kết "affiliates" ở cuối đoạn; nội dung không bị cắt hoặc chồng lấn</t>
  </si>
  <si>
    <t>PROMO_AFF_View_04</t>
  </si>
  <si>
    <t>Pre-condition:
+ Đã đăng nhập trang admin demo (https://admin-demo.nopcommerce.com/admin/)
+ Đang ở trang Promotions &gt; Affiliates, chưa nhập tiêu chí tìm kiếm
Step:
1. Quan sát khối Search khi vừa mở trang
2. Click mũi tên ở góc phải tiêu đề khối Search
3. Click mũi tên lần nữa</t>
  </si>
  <si>
    <t>1. Khối Search đang thu gọn (chỉ có tiêu đề Search và mũi tên), bảng danh sách hiển thị bên dưới
2. Khối Search mở rộng, hiển thị các trường tìm kiếm và nút [Search]
3. Khối Search thu gọn lại, bảng danh sách vẫn hiển thị</t>
  </si>
  <si>
    <t>PROMO_AFF_View_05</t>
  </si>
  <si>
    <t>Pre-condition:
+ Đã đăng nhập trang admin demo (https://admin-demo.nopcommerce.com/admin/)
+ Đang ở trang Promotions &gt; Affiliates, chưa nhập tiêu chí tìm kiếm
Step:
1. Click mũi tên để mở rộng khối Search nếu đang thu gọn
2. Quan sát các trường và nút trong khối Search</t>
  </si>
  <si>
    <t>1. Khối Search mở rộng
2. Khối Search có các ô nhập First name, Last name, Friendly URL name, ô tích Load only with orders và nút [Search]; mỗi nhãn có biểu tượng (?)</t>
  </si>
  <si>
    <t>PROMO_AFF_View_06</t>
  </si>
  <si>
    <t>Pre-condition:
+ Đã đăng nhập trang admin demo (https://admin-demo.nopcommerce.com/admin/)
+ Đang ở trang Promotions &gt; Affiliates, chưa nhập tiêu chí tìm kiếm
Step:
1. Mở trang Affiliates mới (chưa nhập gì)
2. Mở rộng khối Search, quan sát giá trị các trường</t>
  </si>
  <si>
    <t>1. Hiển thị trang Affiliates
2. Các ô nhập First name, Last name, Friendly URL name đều để trống; ô Load only with orders chưa được tích</t>
  </si>
  <si>
    <t>PROMO_AFF_View_07</t>
  </si>
  <si>
    <t>Pre-condition:
+ Đã đăng nhập trang admin demo (https://admin-demo.nopcommerce.com/admin/)
+ Đang ở trang Promotions &gt; Affiliates, chưa nhập tiêu chí tìm kiếm
Step:
1. Mở rộng khối Search
2. Rê chuột vào biểu tượng (?) cạnh từng nhãn</t>
  </si>
  <si>
    <t>1. Khối Search mở rộng
2. Mỗi biểu tượng hiển thị mô tả ngắn của trường, nội dung không bị cắt hoặc che khuất</t>
  </si>
  <si>
    <t>PROMO_AFF_View_08</t>
  </si>
  <si>
    <t>Pre-condition:
+ Đã đăng nhập trang admin demo (https://admin-demo.nopcommerce.com/admin/)
+ Đang ở trang Promotions &gt; Affiliates, chưa nhập tiêu chí tìm kiếm
Step:
1. Quan sát bảng danh sách</t>
  </si>
  <si>
    <t>1. Bảng có các cột First name, Last name, Active, Edit; phía trên bảng có liên kết "Learn more about affiliates"</t>
  </si>
  <si>
    <t>PROMO_AFF_View_09</t>
  </si>
  <si>
    <t>Pre-condition:
+ Đã đăng nhập trang admin demo (https://admin-demo.nopcommerce.com/admin/)
+ Đang ở trang Promotions &gt; Affiliates, chưa nhập tiêu chí tìm kiếm
Step:
1. Quan sát các dòng trong bảng và thông tin phân trang</t>
  </si>
  <si>
    <t>1. Hiển thị 1 dòng: John Smith (Active có dấu ✓, có nút [Edit]); thông tin phân trang "1-1 of 1 items"</t>
  </si>
  <si>
    <t>PROMO_AFF_View_10</t>
  </si>
  <si>
    <t>Pre-condition:
+ Đã đăng nhập trang admin demo (https://admin-demo.nopcommerce.com/admin/)
+ Đang ở trang Promotions &gt; Affiliates, chưa nhập tiêu chí tìm kiếm
Step:
1. Xem trang trên desktop
2. Thu nhỏ trình duyệt về kích thước mobile</t>
  </si>
  <si>
    <t>PROMO_AFF_Search_01</t>
  </si>
  <si>
    <t>Pre-condition:
+ Đã đăng nhập trang admin demo (https://admin-demo.nopcommerce.com/admin/)
+ Đang ở trang Promotions &gt; Affiliates, khối Search đang mở rộng, chưa nhập tiêu chí tìm kiếm
Step:
1. Nhập "John" vào First name
2. Click [Search]</t>
  </si>
  <si>
    <t>1. Dữ liệu được nhập đúng
2. Bảng chỉ còn 1 dòng John Smith; thông tin phân trang "1-1 of 1 items"</t>
  </si>
  <si>
    <t>PROMO_AFF_Search_02</t>
  </si>
  <si>
    <t>Pre-condition:
+ Đã đăng nhập trang admin demo (https://admin-demo.nopcommerce.com/admin/)
+ Đang ở trang Promotions &gt; Affiliates, khối Search đang mở rộng, chưa nhập tiêu chí tìm kiếm
Step:
1. Nhập "Smith" vào Last name
2. Click [Search]</t>
  </si>
  <si>
    <t>PROMO_AFF_Search_03</t>
  </si>
  <si>
    <t>Pre-condition:
+ Đã đăng nhập trang admin demo (https://admin-demo.nopcommerce.com/admin/)
+ Đang ở trang Promotions &gt; Affiliates, khối Search đang mở rộng, chưa nhập tiêu chí tìm kiếm
Step:
1. Nhập "joh" (chữ thường) vào First name
2. Click [Search]</t>
  </si>
  <si>
    <t>1. Dữ liệu được nhập đúng
2. Bảng hiển thị dòng John Smith (tìm theo chuỗi con, không phân biệt hoa thường)</t>
  </si>
  <si>
    <t>PROMO_AFF_Search_04</t>
  </si>
  <si>
    <t>Pre-condition:
+ Đã đăng nhập trang admin demo (https://admin-demo.nopcommerce.com/admin/)
+ Đang ở trang Promotions &gt; Affiliates, khối Search đang mở rộng, chưa nhập tiêu chí tìm kiếm
Step:
1. Nhập "mit" vào Last name
2. Click [Search]</t>
  </si>
  <si>
    <t>1. Dữ liệu được nhập đúng
2. Bảng hiển thị dòng John Smith (tìm theo chuỗi con)</t>
  </si>
  <si>
    <t>PROMO_AFF_Search_05</t>
  </si>
  <si>
    <t>Pre-condition:
+ Đã đăng nhập trang admin demo (https://admin-demo.nopcommerce.com/admin/)
+ Đang ở trang Promotions &gt; Affiliates, khối Search đang mở rộng, chưa nhập tiêu chí tìm kiếm
Step:
1. Nhập "John" vào First name và "Smith" vào Last name
2. Click [Search]</t>
  </si>
  <si>
    <t>1. Dữ liệu được nhập đúng
2. Bảng chỉ còn 1 dòng John Smith</t>
  </si>
  <si>
    <t>PROMO_AFF_Search_06</t>
  </si>
  <si>
    <t>Pre-condition:
+ Đã đăng nhập trang admin demo (https://admin-demo.nopcommerce.com/admin/)
+ Đang ở trang Promotions &gt; Affiliates, khối Search đang mở rộng, chưa nhập tiêu chí tìm kiếm
Step:
1. Nhập "John" vào First name và "Doe" vào Last name
2. Click [Search]</t>
  </si>
  <si>
    <t>PROMO_AFF_Search_07</t>
  </si>
  <si>
    <t>Pre-condition:
+ Đã đăng nhập trang admin demo (https://admin-demo.nopcommerce.com/admin/)
+ Đang ở trang Promotions &gt; Affiliates, khối Search đang mở rộng, chưa nhập tiêu chí tìm kiếm
Step:
1. Nhập "zzz_khong_ton_tai" vào First name
2. Click [Search]</t>
  </si>
  <si>
    <t>PROMO_AFF_Search_08</t>
  </si>
  <si>
    <t>Pre-condition:
+ Đã đăng nhập trang admin demo (https://admin-demo.nopcommerce.com/admin/)
+ Đang ở trang Promotions &gt; Affiliates, chưa nhập tiêu chí tìm kiếm
Step:
1. Click [Edit] ở dòng John Smith, ghi lại giá trị Friendly URL name (không sửa gì), quay lại danh sách Affiliates
2. Mở rộng khối Search nếu cần, nhập Friendly URL name vừa ghi lại vào ô Friendly URL name
3. Click [Search]</t>
  </si>
  <si>
    <t>1. Lấy được Friendly URL name, quay lại trang Affiliates
2. Dữ liệu được nhập đúng
3. Bảng chỉ còn 1 dòng John Smith</t>
  </si>
  <si>
    <t>PROMO_AFF_Search_09</t>
  </si>
  <si>
    <t>Pre-condition:
+ Đã đăng nhập trang admin demo (https://admin-demo.nopcommerce.com/admin/)
+ Đang ở trang Promotions &gt; Affiliates, khối Search đang mở rộng, chưa nhập tiêu chí tìm kiếm
Step:
1. Nhập "NOTEXIST999" vào Friendly URL name
2. Click [Search]</t>
  </si>
  <si>
    <t>PROMO_AFF_Search_10</t>
  </si>
  <si>
    <t>Pre-condition:
+ Đã đăng nhập trang admin demo (https://admin-demo.nopcommerce.com/admin/)
+ Đang ở trang Promotions &gt; Affiliates, khối Search đang mở rộng, chưa nhập tiêu chí tìm kiếm
Step:
1. Tích ô Load only with orders
2. Click [Search]</t>
  </si>
  <si>
    <t>1. Ô được tích
2. Bảng chỉ hiển thị affiliate có đơn hàng phát sinh, hoặc không có dòng nào nếu John Smith chưa có đơn; không báo lỗi hệ thống</t>
  </si>
  <si>
    <t>PROMO_AFF_Search_11</t>
  </si>
  <si>
    <t>Pre-condition:
+ Đã đăng nhập trang admin demo (https://admin-demo.nopcommerce.com/admin/)
+ Đang ở trang Promotions &gt; Affiliates, khối Search đang mở rộng, chưa nhập tiêu chí tìm kiếm
Step:
1. Không nhập tiêu chí nào
2. Click [Search]</t>
  </si>
  <si>
    <t>1. Các ô đều trống
2. Bảng hiển thị đủ danh sách affiliate (1 dòng mặc định); không báo lỗi hệ thống</t>
  </si>
  <si>
    <t>PROMO_AFF_Search_12</t>
  </si>
  <si>
    <t>Pre-condition:
+ Đã đăng nhập trang admin demo (https://admin-demo.nopcommerce.com/admin/)
+ Đang ở trang Promotions &gt; Affiliates, khối Search đang mở rộng, chưa nhập tiêu chí tìm kiếm
Step:
1. Nhập "John" vào First name, click [Search]
2. Xóa nội dung First name, click [Search]</t>
  </si>
  <si>
    <t>1. Bảng chỉ còn 1 dòng
2. Bảng hiển thị lại đủ danh sách affiliate (1 dòng mặc định)</t>
  </si>
  <si>
    <t>PROMO_AFF_Search_13</t>
  </si>
  <si>
    <t>Pre-condition:
+ Đã đăng nhập trang admin demo (https://admin-demo.nopcommerce.com/admin/)
+ Đang ở trang Promotions &gt; Affiliates, khối Search đang mở rộng, chưa nhập tiêu chí tìm kiếm
Step:
1. Nhập "John" vào First name
2. Nhấn phím Enter</t>
  </si>
  <si>
    <t>PROMO_AFF_Search_14</t>
  </si>
  <si>
    <t>Pre-condition:
+ Đã đăng nhập trang admin demo (https://admin-demo.nopcommerce.com/admin/)
+ Đang ở trang Promotions &gt; Affiliates, khối Search đang mở rộng, chưa nhập tiêu chí tìm kiếm
Step:
1. Nhập "  John  " (có khoảng trắng đầu và cuối) vào First name
2. Click [Search]</t>
  </si>
  <si>
    <t>1. Dữ liệu được nhập đúng
2. Hệ thống cắt khoảng trắng và hiển thị kết quả của "John", hoặc không có kết quả (ghi nhận hành vi thực tế); không báo lỗi hệ thống</t>
  </si>
  <si>
    <t>PROMO_AFF_Grid_01</t>
  </si>
  <si>
    <t>Pre-condition:
+ Đã đăng nhập trang admin demo (https://admin-demo.nopcommerce.com/admin/)
+ Đang ở trang Promotions &gt; Affiliates, chưa nhập tiêu chí tìm kiếm
Step:
1. Quan sát cột Active của dòng John Smith
2. Click [Edit] ở dòng đó, quan sát ô Active (không sửa gì)</t>
  </si>
  <si>
    <t>1. Cột Active hiển thị dấu ✓
2. Trang Edit hiển thị ô Active được chọn, khớp với bảng</t>
  </si>
  <si>
    <t>PROMO_AFF_Grid_02</t>
  </si>
  <si>
    <t>Pre-condition:
+ Đã đăng nhập trang admin demo (https://admin-demo.nopcommerce.com/admin/)
+ Đang ở trang Promotions &gt; Affiliates, chưa nhập tiêu chí tìm kiếm
Step:
1. Ghi lại First name, Last name của dòng John Smith
2. Click [Edit] ở dòng đó, so sánh với trang Edit (không sửa gì)</t>
  </si>
  <si>
    <t>1. Dữ liệu được ghi lại
2. Mở trang Edit đúng affiliate (URL /Admin/Affiliate/Edit/{id}), First name, Last name khớp với bảng</t>
  </si>
  <si>
    <t>PROMO_AFF_Page_01</t>
  </si>
  <si>
    <t>Pre-condition:
+ Đã đăng nhập trang admin demo (https://admin-demo.nopcommerce.com/admin/)
+ Đang ở trang Promotions &gt; Affiliates, chưa nhập tiêu chí tìm kiếm
Step:
1. Quan sát ô Show dưới bảng
2. Click ô Show, quan sát danh sách</t>
  </si>
  <si>
    <t>PROMO_AFF_Page_02</t>
  </si>
  <si>
    <t>Pre-condition:
+ Đã đăng nhập trang admin demo (https://admin-demo.nopcommerce.com/admin/)
+ Đang ở trang Promotions &gt; Affiliates, chưa nhập tiêu chí tìm kiếm
Step:
1. Chọn Show = 7
2. Chọn Show = 100</t>
  </si>
  <si>
    <t>1. Bảng vẫn hiển thị đủ 1 dòng, thông tin phân trang "1-1 of 1 items", không có trang 2
2. Bảng vẫn hiển thị đủ 1 dòng, không báo lỗi hệ thống</t>
  </si>
  <si>
    <t>PROMO_AFF_Page_03</t>
  </si>
  <si>
    <t>Pre-condition:
+ Đã đăng nhập trang admin demo (https://admin-demo.nopcommerce.com/admin/)
+ Đang ở trang Promotions &gt; Affiliates, chưa nhập tiêu chí tìm kiếm
Step:
1. Quan sát thanh phân trang
2. Click [Previous], sau đó click [Next]</t>
  </si>
  <si>
    <t>PROMO_AFF_Page_04</t>
  </si>
  <si>
    <t>Pre-condition:
+ Đã đăng nhập trang admin demo (https://admin-demo.nopcommerce.com/admin/)
+ Đang ở trang Promotions &gt; Affiliates, khối Search đang mở rộng, chưa nhập tiêu chí tìm kiếm
Step:
1. Nhập "John" vào First name, click [Search]
2. Click nút làm mới bảng ở bên phải thanh phân trang</t>
  </si>
  <si>
    <t>PROMO_AFF_Nav_01</t>
  </si>
  <si>
    <t>Pre-condition:
+ Đã đăng nhập trang admin demo (https://admin-demo.nopcommerce.com/admin/)
+ Đang ở trang Promotions &gt; Affiliates, chưa nhập tiêu chí tìm kiếm
Step:
1. Click [Add new] ở góc phải</t>
  </si>
  <si>
    <t>1. Chuyển sang trang thêm affiliate mới (URL /Admin/Affiliate/Create); không tạo affiliate nào</t>
  </si>
  <si>
    <t>PROMO_AFF_Nav_02</t>
  </si>
  <si>
    <t>Pre-condition:
+ Đã đăng nhập trang admin demo (https://admin-demo.nopcommerce.com/admin/)
+ Đang ở trang Promotions &gt; Affiliates, chưa nhập tiêu chí tìm kiếm
Step:
1. Click [Edit] ở dòng John Smith
2. Click liên kết quay lại danh sách affiliate ở đầu trang Edit (không sửa gì)</t>
  </si>
  <si>
    <t>1. Mở trang Edit affiliate, họ tên John Smith đúng với dòng đã chọn
2. Quay lại trang Affiliates, bảng vẫn hiển thị danh sách affiliate</t>
  </si>
  <si>
    <t>PROMO_AFF_Nav_03</t>
  </si>
  <si>
    <t>Pre-condition:
+ Đã đăng nhập trang admin demo (https://admin-demo.nopcommerce.com/admin/)
+ Đang ở trang Promotions &gt; Affiliates, chưa nhập tiêu chí tìm kiếm
Step:
1. Click [Newsletter subscribers] trong menu Promotions
2. Click [Affiliates]</t>
  </si>
  <si>
    <t>1. Hiển thị trang Newsletter subscribers
2. Hiển thị lại trang Affiliates, mục Affiliates được làm nổi bật trong menu</t>
  </si>
  <si>
    <t>PROMO_AFF_Nav_04</t>
  </si>
  <si>
    <t>Pre-condition:
+ Đã đăng nhập trang admin demo (https://admin-demo.nopcommerce.com/admin/)
+ Đang ở trang Promotions &gt; Affiliates, chưa nhập tiêu chí tìm kiếm
Step:
1. Click liên kết "affiliates" ở cuối đoạn giới thiệu phía trên bảng</t>
  </si>
  <si>
    <t>1. Mở trang tài liệu nopCommerce về affiliates (docs.nopcommerce.com); trang admin vẫn giữ nguyên</t>
  </si>
  <si>
    <t>PROMO_AFF_Nav_05</t>
  </si>
  <si>
    <t>Pre-condition:
+ Đã đăng nhập trang admin demo (https://admin-demo.nopcommerce.com/admin/)
+ Đang ở trang Promotions &gt; Affiliates, khối Search đang mở rộng, chưa nhập tiêu chí tìm kiếm
Step:
1. Nhập "John" vào First name, click [Search]
2. Nhấn F5 để tải lại trang</t>
  </si>
  <si>
    <t>PROMO_AFF_Nav_06</t>
  </si>
  <si>
    <t>Pre-condition:
+ Đã đăng nhập trang admin demo (https://admin-demo.nopcommerce.com/admin/)
+ Đang ở trang Promotions &gt; Affiliates, chưa nhập tiêu chí tìm kiếm
Step:
1. Click [Edit] ở dòng John Smith
2. Click nút Back của trình duyệt</t>
  </si>
  <si>
    <t>1. Mở trang Edit affiliate
2. Quay về trang Affiliates, vẫn ở trạng thái đăng nhập admin, bảng hiển thị bình thường</t>
  </si>
  <si>
    <t>PROMO_AFF_Security_01</t>
  </si>
  <si>
    <t>Pre-condition:
+ Đã đăng nhập trang admin demo (https://admin-demo.nopcommerce.com/admin/)
+ Đang ở trang Promotions &gt; Affiliates, khối Search đang mở rộng, chưa nhập tiêu chí tìm kiếm
Step:
1. Nhập &lt;script&gt;alert(1)&lt;/script&gt; vào First name
2. Click [Search]</t>
  </si>
  <si>
    <t>PROMO_AFF_Security_02</t>
  </si>
  <si>
    <t>Pre-condition:
+ Đã đăng nhập trang admin demo (https://admin-demo.nopcommerce.com/admin/)
+ Đang ở trang Promotions &gt; Affiliates, khối Search đang mở rộng, chưa nhập tiêu chí tìm kiếm
Step:
1. Nhập ' OR 1=1 -- vào First name, click [Search]
2. Xóa tiêu chí, nhập ' OR 1=1 -- vào Last name, click [Search]
3. Xóa tiêu chí, nhập ' OR 1=1 -- vào Friendly URL name, click [Search]</t>
  </si>
  <si>
    <t>1. Không báo lỗi hệ thống, không lộ thông tin kỹ thuật; không trả về dữ liệu ngoài phạm vi tìm kiếm
2. Không báo lỗi hệ thống, không lộ thông tin kỹ thuật; không trả về dữ liệu ngoài phạm vi tìm kiếm
3. Không báo lỗi hệ thống, không lộ thông tin kỹ thuật; không trả về dữ liệu ngoài phạm vi tìm kiếm</t>
  </si>
  <si>
    <t>PROMO_AFF_Security_03</t>
  </si>
  <si>
    <t>Pre-condition:
+ Đã đăng nhập trang admin demo (https://admin-demo.nopcommerce.com/admin/)
+ Đang ở trang Promotions &gt; Affiliates, khối Search đang mở rộng, chưa nhập tiêu chí tìm kiếm
Step:
1. Nhập chuỗi 500 ký tự "a" vào First name
2. Click [Search]</t>
  </si>
  <si>
    <t>PROMO_AFF_Security_04</t>
  </si>
  <si>
    <t>Pre-condition:
+ Đã đăng nhập trang admin demo (https://admin-demo.nopcommerce.com/admin/)
+ Đang ở trang Promotions &gt; Affiliates, chưa nhập tiêu chí tìm kiếm
Step:
1. Click [Logout] ở góc phải trên cùng
2. Nhập URL https://admin-demo.nopcommerce.com/Admin/Affiliate/List vào thanh địa chỉ</t>
  </si>
  <si>
    <t>1. Đăng xuất thành công, chuyển về trang đăng nhập admin
2. Không xem được danh sách affiliate, chuyển về trang đăng nhập admin (URL có ReturnUrl)</t>
  </si>
  <si>
    <t>PROMO_AFF_Security_05</t>
  </si>
  <si>
    <t>Pre-condition:
+ Đã đăng nhập trang admin demo (https://admin-demo.nopcommerce.com/admin/)
+ Đang ở trang Promotions &gt; Affiliates, chưa nhập tiêu chí tìm kiếm
Step:
1. Quan sát biểu tượng ổ khóa trên thanh địa chỉ</t>
  </si>
  <si>
    <t>PROMO_AFF_Security_06</t>
  </si>
  <si>
    <t>Pre-condition:
+ Đã đăng nhập trang admin demo (https://admin-demo.nopcommerce.com/admin/)
+ Đang ở trang Promotions &gt; Affiliates, chưa nhập tiêu chí tìm kiếm
Step:
1. Nhập URL https://admin-demo.nopcommerce.com/Admin/Affiliate/Edit/999999 vào thanh địa chỉ</t>
  </si>
  <si>
    <t>1. Không mở được trang chi tiết; chuyển về danh sách Affiliates hoặc báo không tìm thấy; không báo lỗi hệ thống, không lộ thông tin kỹ thuật</t>
  </si>
  <si>
    <t>Admin - Promotions - Newsletter subscribers</t>
  </si>
  <si>
    <t>Newsletter subscribers (Promotions &gt; Newsletter subscribers): danh sách subscriber trên trang admin</t>
  </si>
  <si>
    <t>PROMO_NEWS_View_01</t>
  </si>
  <si>
    <t>Pre-condition:
+ Đã đăng nhập trang admin demo (https://admin-demo.nopcommerce.com/admin/)
+ Đang ở trang Dashboard
Step:
1. Click menu [Promotions] ở thanh bên trái
2. Click [Newsletter subscribers]</t>
  </si>
  <si>
    <t>1. Menu Promotions mở rộng, gồm Discounts, Affiliates, Newsletter subscribers, Subscription types, Campaigns
2. Hiển thị trang Newsletter subscribers (URL /Admin/NewsLetterSubscription/List), mục Newsletter subscribers được làm nổi bật trong menu, tiêu đề trang là "Newsletter subscribers"</t>
  </si>
  <si>
    <t>PROMO_NEWS_View_02</t>
  </si>
  <si>
    <t>Pre-condition:
+ Đã đăng nhập trang admin demo (https://admin-demo.nopcommerce.com/admin/)
Step:
1. Nhập URL https://admin-demo.nopcommerce.com/Admin/NewsLetterSubscription/List vào thanh địa chỉ
2. Quan sát header và menu bên trái</t>
  </si>
  <si>
    <t>1. Hiển thị trang Newsletter subscribers
2. Header có tên tài khoản và [Logout]; menu Promotions mở sẵn và mục Newsletter subscribers được chọn</t>
  </si>
  <si>
    <t>PROMO_NEWS_View_03</t>
  </si>
  <si>
    <t>Pre-condition:
+ Đã đăng nhập trang admin demo (https://admin-demo.nopcommerce.com/admin/)
+ Đang ở trang Promotions &gt; Newsletter subscribers, chưa nhập tiêu chí tìm kiếm
Step:
1. Quan sát các nút ở góc phải phía trên</t>
  </si>
  <si>
    <t>1. Hiển thị 3 nút: [Add new] (màu xanh dương), [Export to CSV] và [Import from CSV] (màu xanh lá); nhãn và biểu tượng hiển thị rõ</t>
  </si>
  <si>
    <t>PROMO_NEWS_View_04</t>
  </si>
  <si>
    <t>Pre-condition:
+ Đã đăng nhập trang admin demo (https://admin-demo.nopcommerce.com/admin/)
+ Đang ở trang Promotions &gt; Newsletter subscribers, chưa nhập tiêu chí tìm kiếm
Step:
1. Quan sát khối Search</t>
  </si>
  <si>
    <t>1. Khối Search có các trường Email, Start date, End date, Active, Customer role, Subscription type và nút [Search]; mỗi nhãn có biểu tượng (?)</t>
  </si>
  <si>
    <t>PROMO_NEWS_View_05</t>
  </si>
  <si>
    <t>Pre-condition:
+ Đã đăng nhập trang admin demo (https://admin-demo.nopcommerce.com/admin/)
+ Đang ở trang Promotions &gt; Newsletter subscribers, chưa nhập tiêu chí tìm kiếm
Step:
1. Mở trang Newsletter subscribers mới (chưa nhập gì)
2. Quan sát giá trị các trường tìm kiếm</t>
  </si>
  <si>
    <t>1. Hiển thị trang Newsletter subscribers
2. Email để trống; Start date, End date hiển thị placeholder định dạng ngày; Active, Customer role, Subscription type đều là "All"</t>
  </si>
  <si>
    <t>PROMO_NEWS_View_06</t>
  </si>
  <si>
    <t>Pre-condition:
+ Đã đăng nhập trang admin demo (https://admin-demo.nopcommerce.com/admin/)
+ Đang ở trang Promotions &gt; Newsletter subscribers, chưa nhập tiêu chí tìm kiếm
Step:
1. Rê chuột vào biểu tượng (?) cạnh từng nhãn</t>
  </si>
  <si>
    <t>PROMO_NEWS_View_07</t>
  </si>
  <si>
    <t>Pre-condition:
+ Đã đăng nhập trang admin demo (https://admin-demo.nopcommerce.com/admin/)
+ Đang ở trang Promotions &gt; Newsletter subscribers, chưa nhập tiêu chí tìm kiếm
Step:
1. Nhập "phuoc" vào Email
2. Click mũi tên ở góc phải tiêu đề khối Search
3. Click mũi tên lần nữa</t>
  </si>
  <si>
    <t>1. Email hiển thị "phuoc"
2. Khối Search được thu gọn, bảng kết quả vẫn hiển thị
3. Khối Search mở rộng lại, giá trị "phuoc" vẫn còn trong ô Email</t>
  </si>
  <si>
    <t>PROMO_NEWS_View_08</t>
  </si>
  <si>
    <t>Pre-condition:
+ Đã đăng nhập trang admin demo (https://admin-demo.nopcommerce.com/admin/)
+ Đang ở trang Promotions &gt; Newsletter subscribers, chưa nhập tiêu chí tìm kiếm
Step:
1. Quan sát bảng danh sách</t>
  </si>
  <si>
    <t>1. Bảng có các cột Email, Subscription type, Active, Language, Created on, Edit; phía trên bảng có liên kết "Learn more about email campaigns"</t>
  </si>
  <si>
    <t>PROMO_NEWS_View_09</t>
  </si>
  <si>
    <t>Pre-condition:
+ Đã đăng nhập trang admin demo (https://admin-demo.nopcommerce.com/admin/)
+ Đang ở trang Promotions &gt; Newsletter subscribers, chưa nhập tiêu chí tìm kiếm
Step:
1. Quan sát bảng và thông tin phân trang khi chưa có subscriber nào</t>
  </si>
  <si>
    <t>1. Bảng hiển thị thông báo "No data available in table"; thông tin phân trang hiển thị "No records"</t>
  </si>
  <si>
    <t>PROMO_NEWS_View_10</t>
  </si>
  <si>
    <t>Pre-condition:
+ Đã đăng nhập trang admin demo (https://admin-demo.nopcommerce.com/admin/)
+ Đang ở trang Promotions &gt; Newsletter subscribers, chưa nhập tiêu chí tìm kiếm
Step:
1. Xem trang trên desktop
2. Thu nhỏ trình duyệt về kích thước mobile</t>
  </si>
  <si>
    <t>1. Bố cục đúng, khối Search và bảng thẳng hàng, 3 nút chức năng hiển thị ở góc phải
2. Trang co giãn đúng, không vỡ giao diện; nút [Search], [Add new], [Export to CSV], [Import from CSV] vẫn thao tác được</t>
  </si>
  <si>
    <t>PROMO_NEWS_Data_01</t>
  </si>
  <si>
    <t>Pre-condition:
+ Chưa đăng nhập storefront (https://demo.nopcommerce.com/), dùng email chưa đăng ký (ví dụ phuoc.news01@example.com)
+ Đã đăng nhập trang admin demo (https://admin-demo.nopcommerce.com/admin/)
Step:
1. Mở https://demo.nopcommerce.com/register, nhập First name "Phuoc", Last name "Le", Email phuoc.news01@example.com, Password và Confirm password "Test@123456", giữ nguyên Newsletter được tích
2. Click [REGISTER]
3. Mở trang admin, vào Promotions &gt; Newsletter subscribers, nhập phuoc.news01@example.com vào ô Email, click [Search]</t>
  </si>
  <si>
    <t>1. Dữ liệu được nhập, Newsletter được tích sẵn
2. Hiển thị "Your registration completed"
3. Bảng có 1 dòng Email phuoc.news01@example.com, Active có dấu ✓, Created on là thời điểm vừa đăng ký</t>
  </si>
  <si>
    <t>PROMO_NEWS_Data_02</t>
  </si>
  <si>
    <t>Pre-condition:
+ Chưa đăng nhập storefront (https://demo.nopcommerce.com/), dùng email chưa đăng ký newsletter (ví dụ phuoc.news02@example.com)
+ Đã đăng nhập trang admin demo (https://admin-demo.nopcommerce.com/admin/)
Step:
1. Mở https://demo.nopcommerce.com/, nhập phuoc.news02@example.com vào ô Newsletter ở footer
2. Click [Subscribe]
3. Mở trang admin, vào Promotions &gt; Newsletter subscribers, nhập phuoc.news02@example.com vào ô Email, click [Search]</t>
  </si>
  <si>
    <t>1. Dữ liệu được nhập đúng
2. Hiển thị thông báo đã gửi email xác nhận đăng ký ("A verification email has been sent")
3. Bảng có 1 dòng Email phuoc.news02@example.com, Active không có dấu ✓ (chờ xác nhận email)</t>
  </si>
  <si>
    <t>PROMO_NEWS_Search_01</t>
  </si>
  <si>
    <t>Pre-condition:
+ Đã đăng nhập trang admin demo (https://admin-demo.nopcommerce.com/admin/)
+ Đang ở trang Promotions &gt; Newsletter subscribers, chưa nhập tiêu chí tìm kiếm
Step:
1. Click ô chọn Active, quan sát danh sách</t>
  </si>
  <si>
    <t>1. Danh sách gồm "All" và 2 lựa chọn lọc theo trạng thái (chỉ Active, chỉ Not active)</t>
  </si>
  <si>
    <t>PROMO_NEWS_Search_02</t>
  </si>
  <si>
    <t>Pre-condition:
+ Đã đăng nhập trang admin demo (https://admin-demo.nopcommerce.com/admin/)
+ Đang ở trang Promotions &gt; Newsletter subscribers, chưa nhập tiêu chí tìm kiếm
Step:
1. Click ô chọn Customer role, quan sát danh sách</t>
  </si>
  <si>
    <t>1. Danh sách gồm "All" và các nhóm khách hàng mặc định (Administrators, Forum Moderators, Guests, Registered, Vendors)</t>
  </si>
  <si>
    <t>PROMO_NEWS_Search_03</t>
  </si>
  <si>
    <t>Pre-condition:
+ Đã đăng nhập trang admin demo (https://admin-demo.nopcommerce.com/admin/)
+ Đang ở trang Promotions &gt; Newsletter subscribers, chưa nhập tiêu chí tìm kiếm
Step:
1. Click ô chọn Subscription type, quan sát danh sách</t>
  </si>
  <si>
    <t>1. Danh sách gồm "All" và các loại subscription đang có trong Promotions &gt; Subscription types</t>
  </si>
  <si>
    <t>PROMO_NEWS_Search_04</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</si>
  <si>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"phuoc.news01@example.com" vào ô Email
2. Click [Search]</t>
  </si>
  <si>
    <t>1. Dữ liệu được nhập đúng
2. Bảng chỉ còn 1 dòng phuoc.news01@example.com, Active có dấu ✓; thông tin phân trang "1-1 of 1 items"</t>
  </si>
  <si>
    <t>PROMO_NEWS_Data_01, PROMO_NEWS_Data_02</t>
  </si>
  <si>
    <t>PROMO_NEWS_Search_05</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</si>
  <si>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 vào ô Email
2. Click [Search]</t>
  </si>
  <si>
    <t>1. Dữ liệu được nhập đúng
2. Bảng hiển thị 2 dòng phuoc.news01@example.com và phuoc.news02@example.com (tìm theo chuỗi con); thông tin phân trang "1-2 of 2 items"</t>
  </si>
  <si>
    <t>PROMO_NEWS_Search_06</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</si>
  <si>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"PHUOC.NEWS01@EXAMPLE.COM" vào ô Email
2. Click [Search]</t>
  </si>
  <si>
    <t>1. Dữ liệu được nhập đúng
2. Bảng hiển thị dòng phuoc.news01@example.com (email không phân biệt hoa thường)</t>
  </si>
  <si>
    <t>PROMO_NEWS_Search_07</t>
  </si>
  <si>
    <t>Pre-condition:
+ Đã đăng nhập trang admin demo (https://admin-demo.nopcommerce.com/admin/)
+ Đang ở trang Promotions &gt; Newsletter subscribers, chưa nhập tiêu chí tìm kiếm
Step:
1. Nhập "zzz_khong_ton_tai@example.com" vào ô Email
2. Click [Search]</t>
  </si>
  <si>
    <t>PROMO_NEWS_Search_08</t>
  </si>
  <si>
    <t>Pre-condition:
+ Đã đăng nhập trang admin demo (https://admin-demo.nopcommerce.com/admin/)
+ Đang ở trang Promotions &gt; Newsletter subscribers, chưa nhập tiêu chí tìm kiếm
Step:
1. Nhập "abc@@123" vào ô Email
2. Click [Search]</t>
  </si>
  <si>
    <t>1. Dữ liệu được nhập đúng
2. Ô Email không kiểm tra định dạng, chỉ tìm theo chuỗi; bảng không có dòng nào, không báo lỗi hệ thống</t>
  </si>
  <si>
    <t>PROMO_NEWS_Search_09</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</si>
  <si>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ô chọn Active, chọn lựa chọn chỉ Active
2. Click [Search]</t>
  </si>
  <si>
    <t>1. Active hiển thị lựa chọn đã chọn
2. Bảng chỉ hiển thị subscriber có dấu ✓ ở cột Active (có phuoc.news01@example.com, không có phuoc.news02@example.com)</t>
  </si>
  <si>
    <t>PROMO_NEWS_Search_10</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</si>
  <si>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ô chọn Active, chọn lựa chọn chỉ Not active
2. Click [Search]</t>
  </si>
  <si>
    <t>1. Active hiển thị lựa chọn đã chọn
2. Bảng chỉ hiển thị subscriber không có dấu ✓ ở cột Active (có phuoc.news02@example.com, không có phuoc.news01@example.com)</t>
  </si>
  <si>
    <t>PROMO_NEWS_Search_11</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</si>
  <si>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ô chọn Customer role, chọn "Registered"
2. Click [Search]</t>
  </si>
  <si>
    <t>1. Customer role hiển thị "Registered"
2. Bảng chỉ hiển thị subscriber gắn với tài khoản thuộc nhóm Registered (có phuoc.news01@example.com; phuoc.news02@example.com đăng ký ở footer, chưa có tài khoản nên không hiển thị)</t>
  </si>
  <si>
    <t>PROMO_NEWS_Search_12</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</si>
  <si>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ô chọn Subscription type, chọn một loại cụ thể (không phải All)
2. Click [Search]</t>
  </si>
  <si>
    <t>1. Subscription type hiển thị loại đã chọn
2. Bảng chỉ hiển thị subscriber thuộc loại đã chọn, hoặc không có dòng nào nếu loại đó chưa có subscriber; không báo lỗi hệ thống</t>
  </si>
  <si>
    <t>PROMO_NEWS_Search_13</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</si>
  <si>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Start date là ngày hôm qua, click [Search]
2. Đổi Start date thành ngày mai, click [Search]</t>
  </si>
  <si>
    <t>1. Bảng hiển thị 2 subscriber đã tạo (Created on sau mốc đã chọn)
2. Bảng không có dòng nào vì các subscriber được tạo trước mốc đã chọn</t>
  </si>
  <si>
    <t>PROMO_NEWS_Search_14</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</si>
  <si>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End date là ngày mai, click [Search]
2. Đổi End date thành ngày hôm qua, click [Search]</t>
  </si>
  <si>
    <t>1. Bảng hiển thị 2 subscriber đã tạo (Created on trước mốc đã chọn)
2. Bảng không có dòng nào vì các subscriber được tạo sau mốc đã chọn</t>
  </si>
  <si>
    <t>PROMO_NEWS_Search_15</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</si>
  <si>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Start date là ngày hôm qua và End date là ngày mai
2. Click [Search]</t>
  </si>
  <si>
    <t>1. Dữ liệu được nhập đúng
2. Bảng hiển thị 2 subscriber đã tạo nằm trong khoảng thời gian đã chọn</t>
  </si>
  <si>
    <t>PROMO_NEWS_Search_16</t>
  </si>
  <si>
    <t>Pre-condition:
+ Đã đăng nhập trang admin demo (https://admin-demo.nopcommerce.com/admin/)
+ Đang ở trang Promotions &gt; Newsletter subscribers, chưa nhập tiêu chí tìm kiếm
Step:
1. Nhập Start date là ngày mai và End date là ngày hôm qua
2. Click [Search]</t>
  </si>
  <si>
    <t>PROMO_NEWS_Search_17</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</si>
  <si>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Email, chọn Active là lựa chọn chỉ Active
2. Click [Search]</t>
  </si>
  <si>
    <t>1. Các tiêu chí hiển thị đúng như đã chọn
2. Bảng chỉ còn dòng phuoc.news01@example.com</t>
  </si>
  <si>
    <t>PROMO_NEWS_Search_18</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</si>
  <si>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Email, chọn Active là lựa chọn chỉ Not active
2. Click [Search]</t>
  </si>
  <si>
    <t>PROMO_NEWS_Search_19</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</si>
  <si>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Email, click [Search]
2. Xóa nội dung Email, click [Search]</t>
  </si>
  <si>
    <t>1. Bảng chỉ còn 1 dòng
2. Bảng hiển thị lại đủ danh sách subscriber (gồm 2 subscriber đã tạo)</t>
  </si>
  <si>
    <t>PROMO_NEWS_Search_20</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</si>
  <si>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ô Email
2. Nhấn phím Enter</t>
  </si>
  <si>
    <t>PROMO_NEWS_Search_21</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</si>
  <si>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  phuoc.news01  " (có khoảng trắng đầu và cuối) vào ô Email
2. Click [Search]</t>
  </si>
  <si>
    <t>1. Dữ liệu được nhập đúng
2. Hệ thống cắt khoảng trắng và hiển thị kết quả của "phuoc.news01", hoặc không có kết quả (ghi nhận hành vi thực tế); không báo lỗi hệ thống</t>
  </si>
  <si>
    <t>PROMO_NEWS_Grid_01</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</si>
  <si>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Quan sát cột Active của 2 dòng phuoc.news01@example.com và phuoc.news02@example.com
2. Click [Edit] ở từng dòng, quan sát ô Active (không sửa gì)</t>
  </si>
  <si>
    <t>1. Dòng phuoc.news01@example.com có dấu ✓, dòng phuoc.news02@example.com không có dấu ✓
2. Trang Edit hiển thị ô Active khớp với bảng ở từng dòng</t>
  </si>
  <si>
    <t>PROMO_NEWS_Grid_02</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</si>
  <si>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Quan sát cột Subscription type của 2 dòng đã tạo
2. Click [Edit] ở từng dòng, đối chiếu mục Subscription type (không sửa gì)</t>
  </si>
  <si>
    <t>1. Cột Subscription type hiển thị loại subscription của từng dòng
2. Mục Subscription type trên trang Edit khớp với bảng</t>
  </si>
  <si>
    <t>PROMO_NEWS_Grid_03</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</si>
  <si>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Quan sát cột Language của 2 dòng đã tạo</t>
  </si>
  <si>
    <t>1. Cột Language hiển thị ngôn ngữ của subscriber (mặc định English), không để trống hoặc hiện mã lỗi</t>
  </si>
  <si>
    <t>PROMO_NEWS_Grid_04</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</si>
  <si>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Quan sát cột Created on của 2 dòng đã tạo</t>
  </si>
  <si>
    <t>1. Hiển thị đúng định dạng ngày giờ (ví dụ MM/dd/yyyy hh:mm:ss AM/PM) và gần với thời điểm đã tạo ở Data_01 / Data_02</t>
  </si>
  <si>
    <t>PROMO_NEWS_Grid_05</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</si>
  <si>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Ghi lại Email, Active, Subscription type của dòng phuoc.news01@example.com
2. Click [Edit] ở dòng đó, so sánh với trang Edit (không sửa gì)</t>
  </si>
  <si>
    <t>1. Dữ liệu được ghi lại
2. Mở trang Edit đúng subscriber (URL /Admin/NewsLetterSubscription/Edit/{id}), Email, Active, Subscription type khớp với bảng</t>
  </si>
  <si>
    <t>PROMO_NEWS_Page_01</t>
  </si>
  <si>
    <t>Pre-condition:
+ Đã đăng nhập trang admin demo (https://admin-demo.nopcommerce.com/admin/)
+ Đang ở trang Promotions &gt; Newsletter subscribers, chưa nhập tiêu chí tìm kiếm
Step:
1. Quan sát ô Show dưới bảng
2. Click ô Show, quan sát danh sách</t>
  </si>
  <si>
    <t>PROMO_NEWS_Page_02</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</si>
  <si>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Chọn Show = 7
2. Chọn Show = 100</t>
  </si>
  <si>
    <t>1. Bảng vẫn hiển thị đủ 2 subscriber đã tạo, thông tin phân trang "1-2 of 2 items", không có trang 2
2. Bảng vẫn hiển thị đủ 2 subscriber đã tạo, không báo lỗi hệ thống</t>
  </si>
  <si>
    <t>PROMO_NEWS_Page_03</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</si>
  <si>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Quan sát thanh phân trang
2. Click [Previous], sau đó click [Next]</t>
  </si>
  <si>
    <t>PROMO_NEWS_Page_04</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</si>
  <si>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Email, click [Search]
2. Click nút làm mới bảng ở bên phải thanh phân trang</t>
  </si>
  <si>
    <t>PROMO_NEWS_Export_01</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</si>
  <si>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[Export to CSV] khi chưa nhập tiêu chí
2. Mở file .csv vừa tải về</t>
  </si>
  <si>
    <t>1. Trình duyệt tải về 1 file .csv, không báo lỗi hệ thống
2. File chứa email phuoc.news01@example.com và phuoc.news02@example.com cùng trạng thái Active tương ứng; không lỗi font, không bị cắt dòng</t>
  </si>
  <si>
    <t>PROMO_NEWS_Export_02</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</si>
  <si>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Email, click [Search]
2. Click [Export to CSV]
3. Mở file .csv vừa tải về</t>
  </si>
  <si>
    <t>1. Bảng chỉ còn 1 dòng
2. Trình duyệt tải về 1 file .csv, không báo lỗi hệ thống
3. File chỉ chứa phuoc.news01@example.com nếu export theo bộ lọc, hoặc chứa toàn bộ subscriber nếu export không theo bộ lọc (ghi nhận hành vi thực tế)</t>
  </si>
  <si>
    <t>PROMO_NEWS_Export_03</t>
  </si>
  <si>
    <t>Pre-condition:
+ Đã đăng nhập trang admin demo (https://admin-demo.nopcommerce.com/admin/)
+ Đang ở trang Promotions &gt; Newsletter subscribers, chưa nhập tiêu chí tìm kiếm
Step:
1. Nhập "zzz_khong_ton_tai@example.com" vào Email, click [Search]
2. Click [Export to CSV]</t>
  </si>
  <si>
    <t>1. Bảng không có dòng nào
2. Không báo lỗi hệ thống; tải về file .csv không có dòng subscriber nào (hoặc có thông báo không có dữ liệu - ghi nhận hành vi thực tế)</t>
  </si>
  <si>
    <t>PROMO_NEWS_Import_01</t>
  </si>
  <si>
    <t>Pre-condition:
+ Đã đăng nhập trang admin demo (https://admin-demo.nopcommerce.com/admin/)
+ Đang ở trang Promotions &gt; Newsletter subscribers, chưa nhập tiêu chí tìm kiếm
Step:
1. Click [Import from CSV] ở góc phải</t>
  </si>
  <si>
    <t>1. Hiển thị hộp thoại Import gồm ô chọn file và nút [Import]; có hướng dẫn về định dạng file CSV (ghi nhận nội dung thực tế)</t>
  </si>
  <si>
    <t>PROMO_NEWS_Import_02</t>
  </si>
  <si>
    <t>Pre-condition:
+ Đã đăng nhập trang admin demo (https://admin-demo.nopcommerce.com/admin/)
+ Đang ở trang Promotions &gt; Newsletter subscribers, chưa nhập tiêu chí tìm kiếm
Step:
1. Click [Import from CSV]
2. Đóng hộp thoại (nút đóng ở góc hộp thoại hoặc click ra ngoài)</t>
  </si>
  <si>
    <t>1. Hiển thị hộp thoại Import
2. Hộp thoại đóng, quay lại danh sách; không import dữ liệu nào, bảng không thay đổi</t>
  </si>
  <si>
    <t>PROMO_NEWS_Import_03</t>
  </si>
  <si>
    <t>Pre-condition:
+ Đã đăng nhập trang admin demo (https://admin-demo.nopcommerce.com/admin/)
+ Đang ở trang Promotions &gt; Newsletter subscribers, chưa nhập tiêu chí tìm kiếm
Step:
1. Click [Import from CSV]
2. Không chọn file, click [Import]</t>
  </si>
  <si>
    <t>1. Hiển thị hộp thoại Import
2. Hiển thị thông báo yêu cầu chọn file (hoặc không thực hiện import); không báo lỗi hệ thống, không tạo subscriber</t>
  </si>
  <si>
    <t>PROMO_NEWS_Import_04</t>
  </si>
  <si>
    <t>Pre-condition:
+ Đã đăng nhập trang admin demo (https://admin-demo.nopcommerce.com/admin/)
+ Đang ở trang Promotions &gt; Newsletter subscribers, chưa nhập tiêu chí tìm kiếm
+ Có sẵn một file không phải CSV (ví dụ test.png) trên máy
Step:
1. Click [Import from CSV]
2. Chọn file test.png, click [Import]</t>
  </si>
  <si>
    <t>1. Hiển thị hộp thoại Import
2. Hệ thống từ chối file hoặc báo lỗi định dạng; không tạo subscriber, không báo lỗi hệ thống</t>
  </si>
  <si>
    <t>PROMO_NEWS_Nav_01</t>
  </si>
  <si>
    <t>Pre-condition:
+ Đã đăng nhập trang admin demo (https://admin-demo.nopcommerce.com/admin/)
+ Đang ở trang Promotions &gt; Newsletter subscribers, chưa nhập tiêu chí tìm kiếm
Step:
1. Click [Add new] ở góc phải</t>
  </si>
  <si>
    <t>1. Chuyển sang trang thêm subscriber mới (URL /Admin/NewsLetterSubscription/Create); không tạo subscriber nào</t>
  </si>
  <si>
    <t>PROMO_NEWS_Nav_02</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</si>
  <si>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[Edit] ở dòng phuoc.news01@example.com
2. Click liên kết quay lại danh sách ở đầu trang Edit (không sửa gì)</t>
  </si>
  <si>
    <t>1. Mở trang Edit subscriber, Email đúng với dòng đã chọn
2. Quay lại trang Newsletter subscribers, bảng vẫn hiển thị danh sách subscriber</t>
  </si>
  <si>
    <t>PROMO_NEWS_Nav_03</t>
  </si>
  <si>
    <t>Pre-condition:
+ Đã đăng nhập trang admin demo (https://admin-demo.nopcommerce.com/admin/)
+ Đang ở trang Promotions &gt; Newsletter subscribers, chưa nhập tiêu chí tìm kiếm
Step:
1. Click [Subscription types] trong menu Promotions
2. Click [Newsletter subscribers]</t>
  </si>
  <si>
    <t>1. Hiển thị trang Subscription types
2. Hiển thị lại trang Newsletter subscribers, mục Newsletter subscribers được làm nổi bật trong menu</t>
  </si>
  <si>
    <t>PROMO_NEWS_Nav_04</t>
  </si>
  <si>
    <t>Pre-condition:
+ Đã đăng nhập trang admin demo (https://admin-demo.nopcommerce.com/admin/)
+ Đang ở trang Promotions &gt; Newsletter subscribers, chưa nhập tiêu chí tìm kiếm
Step:
1. Click liên kết "email campaigns" phía trên bảng</t>
  </si>
  <si>
    <t>1. Mở trang tài liệu nopCommerce về email campaigns (docs.nopcommerce.com); trang admin vẫn giữ nguyên</t>
  </si>
  <si>
    <t>PROMO_NEWS_Nav_05</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</si>
  <si>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Nhập "phuoc.news01" vào Email, click [Search]
2. Nhấn F5 để tải lại trang</t>
  </si>
  <si>
    <t>PROMO_NEWS_Nav_06</t>
  </si>
  <si>
    <t>Pre-condition:
+ Đã đăng nhập trang admin demo (https://admin-demo.nopcommerce.com/admin/)
+ Đang ở trang Promotions &gt; Newsletter subscribers, chưa nhập tiêu chí tìm kiếm
+ Đã hoàn thành PROMO_NEWS_Data_01 và PROMO_NEWS_Data_02 (email của 2 subscriber đã tạo: phuoc.news01@example.com và phuoc.news02@example.com)
Step:
1. Click [Edit] ở dòng phuoc.news01@example.com
2. Click nút Back của trình duyệt</t>
  </si>
  <si>
    <t>1. Mở trang Edit subscriber
2. Quay về trang Newsletter subscribers, vẫn ở trạng thái đăng nhập admin, bảng hiển thị bình thường</t>
  </si>
  <si>
    <t>PROMO_NEWS_Security_01</t>
  </si>
  <si>
    <t>Pre-condition:
+ Đã đăng nhập trang admin demo (https://admin-demo.nopcommerce.com/admin/)
+ Đang ở trang Promotions &gt; Newsletter subscribers, chưa nhập tiêu chí tìm kiếm
Step:
1. Nhập &lt;script&gt;alert(1)&lt;/script&gt; vào ô Email
2. Click [Search]</t>
  </si>
  <si>
    <t>PROMO_NEWS_Security_02</t>
  </si>
  <si>
    <t>Pre-condition:
+ Đã đăng nhập trang admin demo (https://admin-demo.nopcommerce.com/admin/)
+ Đang ở trang Promotions &gt; Newsletter subscribers, chưa nhập tiêu chí tìm kiếm
Step:
1. Nhập ' OR 1=1 -- vào ô Email
2. Click [Search]</t>
  </si>
  <si>
    <t>PROMO_NEWS_Security_03</t>
  </si>
  <si>
    <t>Pre-condition:
+ Đã đăng nhập trang admin demo (https://admin-demo.nopcommerce.com/admin/)
+ Đang ở trang Promotions &gt; Newsletter subscribers, chưa nhập tiêu chí tìm kiếm
Step:
1. Nhập chuỗi 500 ký tự "a" vào ô Email
2. Click [Search]</t>
  </si>
  <si>
    <t>PROMO_NEWS_Security_04</t>
  </si>
  <si>
    <t>Pre-condition:
+ Đã đăng nhập trang admin demo (https://admin-demo.nopcommerce.com/admin/)
+ Đang ở trang Promotions &gt; Newsletter subscribers, chưa nhập tiêu chí tìm kiếm
Step:
1. Click [Logout] ở góc phải trên cùng
2. Nhập URL https://admin-demo.nopcommerce.com/Admin/NewsLetterSubscription/List vào thanh địa chỉ</t>
  </si>
  <si>
    <t>1. Đăng xuất thành công, chuyển về trang đăng nhập admin
2. Không xem được danh sách subscriber, chuyển về trang đăng nhập admin (URL có ReturnUrl)</t>
  </si>
  <si>
    <t>PROMO_NEWS_Security_05</t>
  </si>
  <si>
    <t>Pre-condition:
+ Đã đăng nhập trang admin demo (https://admin-demo.nopcommerce.com/admin/)
+ Đang ở trang Promotions &gt; Newsletter subscribers, chưa nhập tiêu chí tìm kiếm
Step:
1. Quan sát biểu tượng ổ khóa trên thanh địa chỉ</t>
  </si>
  <si>
    <t>PROMO_NEWS_Security_06</t>
  </si>
  <si>
    <t>Pre-condition:
+ Đã đăng nhập trang admin demo (https://admin-demo.nopcommerce.com/admin/)
+ Đang ở trang Promotions &gt; Newsletter subscribers, chưa nhập tiêu chí tìm kiếm
Step:
1. Nhập URL https://admin-demo.nopcommerce.com/Admin/NewsLetterSubscription/Edit/999999 vào thanh địa chỉ</t>
  </si>
  <si>
    <t>1. Không mở được trang chi tiết; chuyển về danh sách Newsletter subscribers hoặc báo không tìm thấy; không báo lỗi hệ thống, không lộ thông tin kỹ thuật</t>
  </si>
  <si>
    <t>TEST REPORT</t>
  </si>
  <si>
    <t>Notes</t>
  </si>
  <si>
    <t>Gồm 4 module: Register-Login-Logout (Đăng ký, đăng nhập, đăng xuất); Promotions - Discounts (Khuyến mãi); Promotions - Affiliates; Promotions - Newsletter subscribers</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</si>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</sst>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d\-mmm\-yy"/>
    <numFmt numFmtId="165" formatCode="d\-mmm\-yy"/>
    <numFmt numFmtId="166" formatCode="m/d/yyyy"/>
  </numFmts>
  <fonts count="21"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1"/>
      <color rgb="FF0000FF"/>
      <name val="MS PGothic"/>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rgb="FF000000"/>
      <name val="Tahoma"/>
      <charset val="1"/>
    </font>
    <font>
      <sz val="10"/>
      <color rgb="FFFF0000"/>
      <name val="Tahoma"/>
      <charset val="1"/>
    </font>
    <font>
      <sz val="10"/>
      <color theme="1"/>
      <name val="Calibri"/>
      <charset val="1"/>
    </font>
    <font>
      <sz val="10"/>
      <color rgb="FFFFFFFF"/>
      <name val="Tahoma"/>
      <charset val="1"/>
    </font>
    <font>
      <b/>
      <sz val="10"/>
      <color rgb="FF0000FF"/>
      <name val="Tahoma"/>
      <charset val="1"/>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2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style="hair">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s>
  <cellStyleXfs count="1">
    <xf numFmtId="0" fontId="0" fillId="0" borderId="0"/>
  </cellStyleXfs>
  <cellXfs count="129">
    <xf numFmtId="0" fontId="0" fillId="0" borderId="0" xfId="0"/>
    <xf numFmtId="0" fontId="0" fillId="0" borderId="0" xfId="0" applyAlignment="1"/>
    <xf numFmtId="0" fontId="1" fillId="0" borderId="0" xfId="0" applyFont="1" applyAlignme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applyAlignment="1"/>
    <xf numFmtId="0" fontId="4" fillId="2" borderId="1" xfId="0" applyFont="1" applyFill="1" applyBorder="1" applyAlignment="1">
      <alignment horizontal="left"/>
    </xf>
    <xf numFmtId="0" fontId="1" fillId="0" borderId="2" xfId="0" applyFont="1" applyBorder="1" applyAlignment="1"/>
    <xf numFmtId="0" fontId="4" fillId="2" borderId="1" xfId="0" applyFont="1" applyFill="1" applyBorder="1" applyAlignment="1">
      <alignment horizontal="left" vertical="center"/>
    </xf>
    <xf numFmtId="164" fontId="5" fillId="0" borderId="2" xfId="0" applyNumberFormat="1" applyFont="1" applyBorder="1" applyAlignment="1">
      <alignment horizontal="left"/>
    </xf>
    <xf numFmtId="0" fontId="5" fillId="0" borderId="2" xfId="0" applyFont="1" applyBorder="1" applyAlignment="1">
      <alignment horizontal="left"/>
    </xf>
    <xf numFmtId="0" fontId="4" fillId="0" borderId="0" xfId="0" applyFont="1" applyAlignment="1">
      <alignment horizontal="left"/>
    </xf>
    <xf numFmtId="0" fontId="1" fillId="0" borderId="0" xfId="0" applyFont="1" applyAlignment="1">
      <alignment vertical="center"/>
    </xf>
    <xf numFmtId="16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66"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1" fillId="0" borderId="8" xfId="0" applyFont="1" applyBorder="1" applyAlignment="1">
      <alignment vertical="top" wrapText="1"/>
    </xf>
    <xf numFmtId="0" fontId="5" fillId="0" borderId="8" xfId="0" applyFont="1" applyBorder="1" applyAlignment="1">
      <alignment vertical="top" wrapText="1"/>
    </xf>
    <xf numFmtId="165" fontId="1" fillId="0" borderId="6" xfId="0" applyNumberFormat="1" applyFont="1" applyBorder="1" applyAlignment="1">
      <alignment vertical="top"/>
    </xf>
    <xf numFmtId="0" fontId="1" fillId="0" borderId="8" xfId="0" applyFont="1" applyBorder="1" applyAlignment="1">
      <alignment vertical="top"/>
    </xf>
    <xf numFmtId="16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applyAlignment="1"/>
    <xf numFmtId="0" fontId="1"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applyAlignment="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0"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center"/>
    </xf>
    <xf numFmtId="49" fontId="1" fillId="2" borderId="7" xfId="0" applyNumberFormat="1" applyFont="1" applyFill="1" applyBorder="1" applyAlignment="1">
      <alignment vertical="top" wrapText="1"/>
    </xf>
    <xf numFmtId="0" fontId="11" fillId="2" borderId="7" xfId="0" applyFont="1" applyFill="1" applyBorder="1" applyAlignment="1">
      <alignment horizontal="left" vertical="center"/>
    </xf>
    <xf numFmtId="0" fontId="12" fillId="2" borderId="7" xfId="0" applyFont="1" applyFill="1" applyBorder="1" applyAlignment="1">
      <alignment vertical="top" wrapText="1"/>
    </xf>
    <xf numFmtId="0" fontId="1" fillId="2" borderId="8" xfId="0" applyFont="1" applyFill="1" applyBorder="1" applyAlignment="1">
      <alignment vertical="top" wrapText="1"/>
    </xf>
    <xf numFmtId="49" fontId="1" fillId="2" borderId="7" xfId="0" applyNumberFormat="1"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horizontal="left" vertical="center" wrapText="1"/>
    </xf>
    <xf numFmtId="0" fontId="10" fillId="2" borderId="15" xfId="0" applyFont="1" applyFill="1" applyBorder="1" applyAlignment="1">
      <alignment horizontal="left" wrapText="1"/>
    </xf>
    <xf numFmtId="0" fontId="16" fillId="2" borderId="0" xfId="0" applyFont="1" applyFill="1" applyAlignment="1">
      <alignment wrapText="1"/>
    </xf>
    <xf numFmtId="0" fontId="10" fillId="2" borderId="0" xfId="0" applyFont="1" applyFill="1" applyAlignment="1">
      <alignment wrapText="1"/>
    </xf>
    <xf numFmtId="0" fontId="17" fillId="2" borderId="0" xfId="0" applyFont="1" applyFill="1" applyAlignment="1">
      <alignment wrapText="1"/>
    </xf>
    <xf numFmtId="0" fontId="16" fillId="2" borderId="0" xfId="0" applyFont="1" applyFill="1" applyAlignment="1"/>
    <xf numFmtId="0" fontId="10" fillId="2" borderId="16" xfId="0" applyFont="1" applyFill="1" applyBorder="1" applyAlignment="1">
      <alignment horizontal="left" wrapText="1"/>
    </xf>
    <xf numFmtId="0" fontId="8" fillId="2" borderId="15"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7" fillId="2" borderId="0" xfId="0" applyFont="1" applyFill="1" applyAlignment="1">
      <alignment horizontal="center" wrapText="1"/>
    </xf>
    <xf numFmtId="0" fontId="16" fillId="2" borderId="1" xfId="0" applyFont="1" applyFill="1" applyBorder="1" applyAlignment="1">
      <alignment horizontal="center" vertical="center"/>
    </xf>
    <xf numFmtId="0" fontId="16" fillId="2" borderId="1" xfId="0" applyFont="1" applyFill="1" applyBorder="1" applyAlignment="1">
      <alignment vertical="center" wrapText="1"/>
    </xf>
    <xf numFmtId="0" fontId="16" fillId="2" borderId="0" xfId="0" applyFont="1" applyFill="1" applyAlignment="1">
      <alignment horizontal="center" wrapText="1"/>
    </xf>
    <xf numFmtId="0" fontId="1" fillId="2" borderId="0" xfId="0" applyFont="1" applyFill="1" applyAlignment="1">
      <alignment horizontal="center" wrapText="1"/>
    </xf>
    <xf numFmtId="0" fontId="6" fillId="3" borderId="1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9" fillId="2" borderId="0" xfId="0" applyFont="1" applyFill="1" applyAlignment="1">
      <alignment horizontal="center" vertical="center" wrapText="1"/>
    </xf>
    <xf numFmtId="0" fontId="1" fillId="2" borderId="2" xfId="0" applyFont="1" applyFill="1" applyBorder="1" applyAlignment="1">
      <alignment vertical="top" wrapText="1"/>
    </xf>
    <xf numFmtId="0" fontId="18" fillId="0" borderId="1" xfId="0" applyFont="1" applyBorder="1" applyAlignment="1">
      <alignment horizontal="left" vertical="top" wrapText="1"/>
    </xf>
    <xf numFmtId="0" fontId="1" fillId="2" borderId="1" xfId="0" applyFont="1" applyFill="1" applyBorder="1" applyAlignment="1">
      <alignment vertical="top" wrapText="1"/>
    </xf>
    <xf numFmtId="166" fontId="1" fillId="2" borderId="1" xfId="0" applyNumberFormat="1" applyFont="1" applyFill="1" applyBorder="1" applyAlignment="1">
      <alignment vertical="top" wrapText="1"/>
    </xf>
    <xf numFmtId="0" fontId="1" fillId="2" borderId="12" xfId="0" applyFont="1" applyFill="1" applyBorder="1" applyAlignment="1">
      <alignment vertical="top" wrapText="1"/>
    </xf>
    <xf numFmtId="0" fontId="17" fillId="2" borderId="0" xfId="0" applyFont="1" applyFill="1" applyAlignment="1">
      <alignment vertical="top" wrapText="1"/>
    </xf>
    <xf numFmtId="0" fontId="9" fillId="2" borderId="0" xfId="0" applyFont="1" applyFill="1" applyAlignment="1">
      <alignment horizontal="left" vertical="center"/>
    </xf>
    <xf numFmtId="0" fontId="17" fillId="2" borderId="0" xfId="0" applyFont="1" applyFill="1" applyAlignment="1"/>
    <xf numFmtId="0" fontId="10" fillId="2" borderId="0" xfId="0" applyFont="1" applyFill="1" applyAlignment="1"/>
    <xf numFmtId="165" fontId="1" fillId="2" borderId="0" xfId="0" applyNumberFormat="1" applyFont="1" applyFill="1" applyAlignment="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0" fontId="4" fillId="2" borderId="0" xfId="0" applyFont="1" applyFill="1" applyAlignment="1"/>
    <xf numFmtId="0" fontId="5" fillId="2" borderId="0" xfId="0" applyFont="1" applyFill="1" applyAlignment="1"/>
    <xf numFmtId="0" fontId="1" fillId="2" borderId="21" xfId="0" applyFont="1" applyFill="1" applyBorder="1" applyAlignment="1"/>
    <xf numFmtId="0" fontId="6" fillId="3" borderId="22" xfId="0" applyFont="1" applyFill="1" applyBorder="1" applyAlignment="1">
      <alignment horizont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3" borderId="13" xfId="0" applyFont="1" applyFill="1" applyBorder="1" applyAlignment="1">
      <alignment horizontal="center"/>
    </xf>
    <xf numFmtId="0" fontId="6" fillId="3" borderId="23" xfId="0" applyFont="1" applyFill="1" applyBorder="1" applyAlignment="1">
      <alignment horizontal="center" wrapText="1"/>
    </xf>
    <xf numFmtId="0" fontId="1" fillId="2" borderId="24" xfId="0" applyFont="1" applyFill="1" applyBorder="1" applyAlignment="1">
      <alignment horizontal="center"/>
    </xf>
    <xf numFmtId="0" fontId="1" fillId="2" borderId="7" xfId="0" applyFont="1" applyFill="1" applyBorder="1" applyAlignment="1"/>
    <xf numFmtId="0" fontId="1" fillId="2" borderId="7" xfId="0" applyFont="1" applyFill="1" applyBorder="1" applyAlignment="1">
      <alignment horizontal="center"/>
    </xf>
    <xf numFmtId="0" fontId="1" fillId="2" borderId="25" xfId="0" applyFont="1" applyFill="1" applyBorder="1" applyAlignment="1">
      <alignment horizontal="center"/>
    </xf>
    <xf numFmtId="0" fontId="19" fillId="3" borderId="26" xfId="0" applyFont="1" applyFill="1" applyBorder="1" applyAlignment="1">
      <alignment horizontal="center"/>
    </xf>
    <xf numFmtId="0" fontId="6" fillId="3" borderId="10" xfId="0" applyFont="1" applyFill="1" applyBorder="1" applyAlignment="1"/>
    <xf numFmtId="0" fontId="19" fillId="3" borderId="10" xfId="0" applyFont="1" applyFill="1" applyBorder="1" applyAlignment="1">
      <alignment horizontal="center"/>
    </xf>
    <xf numFmtId="0" fontId="19" fillId="3" borderId="27"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0" fillId="2" borderId="0" xfId="0" applyNumberFormat="1" applyFont="1" applyFill="1" applyAlignment="1">
      <alignment horizontal="right" wrapText="1"/>
    </xf>
    <xf numFmtId="0" fontId="5" fillId="0" borderId="1" xfId="0" applyFont="1" applyBorder="1" applyAlignment="1">
      <alignment horizontal="left"/>
    </xf>
    <xf numFmtId="0" fontId="3" fillId="0" borderId="1" xfId="0" applyFont="1" applyBorder="1" applyAlignment="1">
      <alignment horizontal="center" vertical="center"/>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1" fontId="4" fillId="2" borderId="12" xfId="0" applyNumberFormat="1" applyFont="1" applyFill="1" applyBorder="1" applyAlignment="1"/>
    <xf numFmtId="0" fontId="5" fillId="2" borderId="1" xfId="0" applyFont="1" applyFill="1" applyBorder="1" applyAlignment="1">
      <alignment horizontal="left"/>
    </xf>
    <xf numFmtId="1" fontId="4" fillId="2" borderId="1" xfId="0" applyNumberFormat="1" applyFont="1" applyFill="1" applyBorder="1" applyAlignment="1">
      <alignment vertical="center" wrapText="1"/>
    </xf>
    <xf numFmtId="0" fontId="5" fillId="2" borderId="1" xfId="0" applyFont="1" applyFill="1" applyBorder="1" applyAlignment="1">
      <alignment vertical="top" wrapText="1"/>
    </xf>
    <xf numFmtId="0" fontId="5"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4" fillId="2" borderId="1" xfId="0" applyFont="1" applyFill="1" applyBorder="1" applyAlignment="1">
      <alignment horizontal="left"/>
    </xf>
    <xf numFmtId="166" fontId="4" fillId="2" borderId="2" xfId="0" applyNumberFormat="1" applyFont="1" applyFill="1" applyBorder="1" applyAlignment="1">
      <alignment horizontal="left"/>
    </xf>
    <xf numFmtId="0" fontId="3" fillId="2"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workbookViewId="0">
      <selection activeCell="G13" sqref="G13"/>
    </sheetView>
  </sheetViews>
  <sheetFormatPr defaultColWidth="14.44140625" defaultRowHeight="14.4" x14ac:dyDescent="0.3"/>
  <cols>
    <col min="1" max="1" width="2.5546875" style="1" customWidth="1"/>
    <col min="2" max="2" width="22.44140625" style="1" customWidth="1"/>
    <col min="3" max="3" width="10.5546875" style="1" customWidth="1"/>
    <col min="4" max="4" width="16.5546875" style="1" customWidth="1"/>
    <col min="5" max="5" width="9.109375" style="1" customWidth="1"/>
    <col min="6" max="6" width="35.5546875" style="1" customWidth="1"/>
    <col min="7" max="7" width="35.44140625" style="1" customWidth="1"/>
    <col min="8" max="26" width="9.109375" style="1" customWidth="1"/>
  </cols>
  <sheetData>
    <row r="1" spans="1:26" ht="12.75" customHeight="1" x14ac:dyDescent="0.3">
      <c r="A1" s="2"/>
      <c r="B1" s="3"/>
      <c r="C1" s="2"/>
      <c r="D1" s="2"/>
      <c r="E1" s="2"/>
      <c r="F1" s="2"/>
      <c r="G1" s="2"/>
      <c r="H1" s="2"/>
      <c r="I1" s="2"/>
      <c r="J1" s="2"/>
      <c r="K1" s="2"/>
      <c r="L1" s="2"/>
      <c r="M1" s="2"/>
      <c r="N1" s="2"/>
      <c r="O1" s="2"/>
      <c r="P1" s="2"/>
      <c r="Q1" s="2"/>
      <c r="R1" s="2"/>
      <c r="S1" s="2"/>
      <c r="T1" s="2"/>
      <c r="U1" s="2"/>
      <c r="V1" s="2"/>
      <c r="W1" s="2"/>
      <c r="X1" s="2"/>
      <c r="Y1" s="2"/>
      <c r="Z1" s="2"/>
    </row>
    <row r="2" spans="1:26" ht="75.75" customHeight="1" x14ac:dyDescent="0.3">
      <c r="A2" s="4"/>
      <c r="B2" s="116" t="s">
        <v>0</v>
      </c>
      <c r="C2" s="116"/>
      <c r="D2" s="116"/>
      <c r="E2" s="116"/>
      <c r="F2" s="116"/>
      <c r="G2" s="116"/>
      <c r="H2" s="5"/>
      <c r="I2" s="5"/>
      <c r="J2" s="5"/>
      <c r="K2" s="5"/>
      <c r="L2" s="5"/>
      <c r="M2" s="5"/>
      <c r="N2" s="5"/>
      <c r="O2" s="5"/>
      <c r="P2" s="5"/>
      <c r="Q2" s="5"/>
      <c r="R2" s="5"/>
      <c r="S2" s="5"/>
      <c r="T2" s="5"/>
      <c r="U2" s="5"/>
      <c r="V2" s="5"/>
      <c r="W2" s="5"/>
      <c r="X2" s="5"/>
      <c r="Y2" s="5"/>
      <c r="Z2" s="5"/>
    </row>
    <row r="3" spans="1:26" ht="12.75" customHeight="1" x14ac:dyDescent="0.3">
      <c r="A3" s="2"/>
      <c r="B3" s="6"/>
      <c r="C3" s="7"/>
      <c r="D3" s="2"/>
      <c r="E3" s="2"/>
      <c r="F3" s="8"/>
      <c r="G3" s="2"/>
      <c r="H3" s="2"/>
      <c r="I3" s="2"/>
      <c r="J3" s="2"/>
      <c r="K3" s="2"/>
      <c r="L3" s="2"/>
      <c r="M3" s="2"/>
      <c r="N3" s="2"/>
      <c r="O3" s="2"/>
      <c r="P3" s="2"/>
      <c r="Q3" s="2"/>
      <c r="R3" s="2"/>
      <c r="S3" s="2"/>
      <c r="T3" s="2"/>
      <c r="U3" s="2"/>
      <c r="V3" s="2"/>
      <c r="W3" s="2"/>
      <c r="X3" s="2"/>
      <c r="Y3" s="2"/>
      <c r="Z3" s="2"/>
    </row>
    <row r="4" spans="1:26" ht="14.25" customHeight="1" x14ac:dyDescent="0.3">
      <c r="A4" s="2"/>
      <c r="B4" s="9" t="s">
        <v>1</v>
      </c>
      <c r="C4" s="115" t="s">
        <v>2</v>
      </c>
      <c r="D4" s="115"/>
      <c r="E4" s="115"/>
      <c r="F4" s="9" t="s">
        <v>3</v>
      </c>
      <c r="G4" s="10" t="s">
        <v>4</v>
      </c>
      <c r="H4" s="2"/>
      <c r="I4" s="2"/>
      <c r="J4" s="2"/>
      <c r="K4" s="2"/>
      <c r="L4" s="2"/>
      <c r="M4" s="2"/>
      <c r="N4" s="2"/>
      <c r="O4" s="2"/>
      <c r="P4" s="2"/>
      <c r="Q4" s="2"/>
      <c r="R4" s="2"/>
      <c r="S4" s="2"/>
      <c r="T4" s="2"/>
      <c r="U4" s="2"/>
      <c r="V4" s="2"/>
      <c r="W4" s="2"/>
      <c r="X4" s="2"/>
      <c r="Y4" s="2"/>
      <c r="Z4" s="2"/>
    </row>
    <row r="5" spans="1:26" ht="14.25" customHeight="1" x14ac:dyDescent="0.3">
      <c r="A5" s="2"/>
      <c r="B5" s="9" t="s">
        <v>5</v>
      </c>
      <c r="C5" s="115" t="s">
        <v>6</v>
      </c>
      <c r="D5" s="115"/>
      <c r="E5" s="115"/>
      <c r="F5" s="9" t="s">
        <v>7</v>
      </c>
      <c r="G5" s="10" t="s">
        <v>8</v>
      </c>
      <c r="H5" s="2"/>
      <c r="I5" s="2"/>
      <c r="J5" s="2"/>
      <c r="K5" s="2"/>
      <c r="L5" s="2"/>
      <c r="M5" s="2"/>
      <c r="N5" s="2"/>
      <c r="O5" s="2"/>
      <c r="P5" s="2"/>
      <c r="Q5" s="2"/>
      <c r="R5" s="2"/>
      <c r="S5" s="2"/>
      <c r="T5" s="2"/>
      <c r="U5" s="2"/>
      <c r="V5" s="2"/>
      <c r="W5" s="2"/>
      <c r="X5" s="2"/>
      <c r="Y5" s="2"/>
      <c r="Z5" s="2"/>
    </row>
    <row r="6" spans="1:26" ht="15.75" customHeight="1" x14ac:dyDescent="0.3">
      <c r="A6" s="2"/>
      <c r="B6" s="117" t="s">
        <v>9</v>
      </c>
      <c r="C6" s="118" t="str">
        <f>C5&amp;"_TestCase_V0.1"</f>
        <v>NOP_TestCase_V0.1</v>
      </c>
      <c r="D6" s="118"/>
      <c r="E6" s="118"/>
      <c r="F6" s="9" t="s">
        <v>10</v>
      </c>
      <c r="G6" s="12">
        <v>46317</v>
      </c>
      <c r="H6" s="2"/>
      <c r="I6" s="2"/>
      <c r="J6" s="2"/>
      <c r="K6" s="2"/>
      <c r="L6" s="2"/>
      <c r="M6" s="2"/>
      <c r="N6" s="2"/>
      <c r="O6" s="2"/>
      <c r="P6" s="2"/>
      <c r="Q6" s="2"/>
      <c r="R6" s="2"/>
      <c r="S6" s="2"/>
      <c r="T6" s="2"/>
      <c r="U6" s="2"/>
      <c r="V6" s="2"/>
      <c r="W6" s="2"/>
      <c r="X6" s="2"/>
      <c r="Y6" s="2"/>
      <c r="Z6" s="2"/>
    </row>
    <row r="7" spans="1:26" ht="13.5" customHeight="1" x14ac:dyDescent="0.3">
      <c r="A7" s="2"/>
      <c r="B7" s="117"/>
      <c r="C7" s="118"/>
      <c r="D7" s="118"/>
      <c r="E7" s="118"/>
      <c r="F7" s="9" t="s">
        <v>11</v>
      </c>
      <c r="G7" s="13">
        <v>0.1</v>
      </c>
      <c r="H7" s="2"/>
      <c r="I7" s="2"/>
      <c r="J7" s="2"/>
      <c r="K7" s="2"/>
      <c r="L7" s="2"/>
      <c r="M7" s="2"/>
      <c r="N7" s="2"/>
      <c r="O7" s="2"/>
      <c r="P7" s="2"/>
      <c r="Q7" s="2"/>
      <c r="R7" s="2"/>
      <c r="S7" s="2"/>
      <c r="T7" s="2"/>
      <c r="U7" s="2"/>
      <c r="V7" s="2"/>
      <c r="W7" s="2"/>
      <c r="X7" s="2"/>
      <c r="Y7" s="2"/>
      <c r="Z7" s="2"/>
    </row>
    <row r="8" spans="1:26" ht="12.75" customHeight="1" x14ac:dyDescent="0.3">
      <c r="A8" s="2"/>
      <c r="B8" s="9" t="s">
        <v>12</v>
      </c>
      <c r="C8" s="115" t="s">
        <v>13</v>
      </c>
      <c r="D8" s="115"/>
      <c r="E8" s="115"/>
      <c r="F8" s="6"/>
      <c r="G8" s="7"/>
      <c r="H8" s="2"/>
      <c r="I8" s="2"/>
      <c r="J8" s="2"/>
      <c r="K8" s="2"/>
      <c r="L8" s="2"/>
      <c r="M8" s="2"/>
      <c r="N8" s="2"/>
      <c r="O8" s="2"/>
      <c r="P8" s="2"/>
      <c r="Q8" s="2"/>
      <c r="R8" s="2"/>
      <c r="S8" s="2"/>
      <c r="T8" s="2"/>
      <c r="U8" s="2"/>
      <c r="V8" s="2"/>
      <c r="W8" s="2"/>
      <c r="X8" s="2"/>
      <c r="Y8" s="2"/>
      <c r="Z8" s="2"/>
    </row>
    <row r="9" spans="1:26" ht="12.75" customHeight="1" x14ac:dyDescent="0.3">
      <c r="A9" s="2"/>
      <c r="B9" s="3"/>
      <c r="C9" s="2"/>
      <c r="D9" s="2"/>
      <c r="E9" s="2"/>
      <c r="F9" s="2"/>
      <c r="G9" s="2"/>
      <c r="H9" s="2"/>
      <c r="I9" s="2"/>
      <c r="J9" s="2"/>
      <c r="K9" s="2"/>
      <c r="L9" s="2"/>
      <c r="M9" s="2"/>
      <c r="N9" s="2"/>
      <c r="O9" s="2"/>
      <c r="P9" s="2"/>
      <c r="Q9" s="2"/>
      <c r="R9" s="2"/>
      <c r="S9" s="2"/>
      <c r="T9" s="2"/>
      <c r="U9" s="2"/>
      <c r="V9" s="2"/>
      <c r="W9" s="2"/>
      <c r="X9" s="2"/>
      <c r="Y9" s="2"/>
      <c r="Z9" s="2"/>
    </row>
    <row r="10" spans="1:26" ht="12.75" customHeight="1" x14ac:dyDescent="0.3">
      <c r="A10" s="2"/>
      <c r="B10" s="14" t="s">
        <v>14</v>
      </c>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3">
      <c r="A11" s="15"/>
      <c r="B11" s="16" t="s">
        <v>15</v>
      </c>
      <c r="C11" s="17" t="s">
        <v>11</v>
      </c>
      <c r="D11" s="17" t="s">
        <v>16</v>
      </c>
      <c r="E11" s="17" t="s">
        <v>17</v>
      </c>
      <c r="F11" s="17" t="s">
        <v>18</v>
      </c>
      <c r="G11" s="18" t="s">
        <v>19</v>
      </c>
      <c r="H11" s="15"/>
      <c r="I11" s="15"/>
      <c r="J11" s="15"/>
      <c r="K11" s="15"/>
      <c r="L11" s="15"/>
      <c r="M11" s="15"/>
      <c r="N11" s="15"/>
      <c r="O11" s="15"/>
      <c r="P11" s="15"/>
      <c r="Q11" s="15"/>
      <c r="R11" s="15"/>
      <c r="S11" s="15"/>
      <c r="T11" s="15"/>
      <c r="U11" s="15"/>
      <c r="V11" s="15"/>
      <c r="W11" s="15"/>
      <c r="X11" s="15"/>
      <c r="Y11" s="15"/>
      <c r="Z11" s="15"/>
    </row>
    <row r="12" spans="1:26" ht="109.5" customHeight="1" x14ac:dyDescent="0.3">
      <c r="A12" s="19"/>
      <c r="B12" s="20">
        <v>46318</v>
      </c>
      <c r="C12" s="21" t="s">
        <v>20</v>
      </c>
      <c r="D12" s="19"/>
      <c r="E12" s="22" t="s">
        <v>21</v>
      </c>
      <c r="F12" s="23" t="s">
        <v>22</v>
      </c>
      <c r="G12" s="24" t="s">
        <v>23</v>
      </c>
      <c r="H12" s="19"/>
      <c r="I12" s="19"/>
      <c r="J12" s="19"/>
      <c r="K12" s="19"/>
      <c r="L12" s="19"/>
      <c r="M12" s="19"/>
      <c r="N12" s="19"/>
      <c r="O12" s="19"/>
      <c r="P12" s="19"/>
      <c r="Q12" s="19"/>
      <c r="R12" s="19"/>
      <c r="S12" s="19"/>
      <c r="T12" s="19"/>
      <c r="U12" s="19"/>
      <c r="V12" s="19"/>
      <c r="W12" s="19"/>
      <c r="X12" s="19"/>
      <c r="Y12" s="19"/>
      <c r="Z12" s="19"/>
    </row>
    <row r="13" spans="1:26" ht="19.5" customHeight="1" x14ac:dyDescent="0.3">
      <c r="A13" s="19"/>
      <c r="B13" s="25"/>
      <c r="C13" s="21"/>
      <c r="D13" s="22"/>
      <c r="E13" s="22"/>
      <c r="F13" s="22"/>
      <c r="G13" s="26"/>
      <c r="H13" s="19"/>
      <c r="I13" s="19"/>
      <c r="J13" s="19"/>
      <c r="K13" s="19"/>
      <c r="L13" s="19"/>
      <c r="M13" s="19"/>
      <c r="N13" s="19"/>
      <c r="O13" s="19"/>
      <c r="P13" s="19"/>
      <c r="Q13" s="19"/>
      <c r="R13" s="19"/>
      <c r="S13" s="19"/>
      <c r="T13" s="19"/>
      <c r="U13" s="19"/>
      <c r="V13" s="19"/>
      <c r="W13" s="19"/>
      <c r="X13" s="19"/>
      <c r="Y13" s="19"/>
      <c r="Z13" s="19"/>
    </row>
    <row r="14" spans="1:26" ht="19.5" customHeight="1" x14ac:dyDescent="0.3">
      <c r="A14" s="19"/>
      <c r="B14" s="25"/>
      <c r="C14" s="21"/>
      <c r="D14" s="22"/>
      <c r="E14" s="22"/>
      <c r="F14" s="22"/>
      <c r="G14" s="26"/>
      <c r="H14" s="19"/>
      <c r="I14" s="19"/>
      <c r="J14" s="19"/>
      <c r="K14" s="19"/>
      <c r="L14" s="19"/>
      <c r="M14" s="19"/>
      <c r="N14" s="19"/>
      <c r="O14" s="19"/>
      <c r="P14" s="19"/>
      <c r="Q14" s="19"/>
      <c r="R14" s="19"/>
      <c r="S14" s="19"/>
      <c r="T14" s="19"/>
      <c r="U14" s="19"/>
      <c r="V14" s="19"/>
      <c r="W14" s="19"/>
      <c r="X14" s="19"/>
      <c r="Y14" s="19"/>
      <c r="Z14" s="19"/>
    </row>
    <row r="15" spans="1:26" ht="21.75" customHeight="1" x14ac:dyDescent="0.3">
      <c r="A15" s="19"/>
      <c r="B15" s="25"/>
      <c r="C15" s="21"/>
      <c r="D15" s="22"/>
      <c r="E15" s="22"/>
      <c r="F15" s="22"/>
      <c r="G15" s="26"/>
      <c r="H15" s="19"/>
      <c r="I15" s="19"/>
      <c r="J15" s="19"/>
      <c r="K15" s="19"/>
      <c r="L15" s="19"/>
      <c r="M15" s="19"/>
      <c r="N15" s="19"/>
      <c r="O15" s="19"/>
      <c r="P15" s="19"/>
      <c r="Q15" s="19"/>
      <c r="R15" s="19"/>
      <c r="S15" s="19"/>
      <c r="T15" s="19"/>
      <c r="U15" s="19"/>
      <c r="V15" s="19"/>
      <c r="W15" s="19"/>
      <c r="X15" s="19"/>
      <c r="Y15" s="19"/>
      <c r="Z15" s="19"/>
    </row>
    <row r="16" spans="1:26" ht="19.5" customHeight="1" x14ac:dyDescent="0.3">
      <c r="A16" s="19"/>
      <c r="B16" s="25"/>
      <c r="C16" s="21"/>
      <c r="D16" s="22"/>
      <c r="E16" s="22"/>
      <c r="F16" s="22"/>
      <c r="G16" s="26"/>
      <c r="H16" s="19"/>
      <c r="I16" s="19"/>
      <c r="J16" s="19"/>
      <c r="K16" s="19"/>
      <c r="L16" s="19"/>
      <c r="M16" s="19"/>
      <c r="N16" s="19"/>
      <c r="O16" s="19"/>
      <c r="P16" s="19"/>
      <c r="Q16" s="19"/>
      <c r="R16" s="19"/>
      <c r="S16" s="19"/>
      <c r="T16" s="19"/>
      <c r="U16" s="19"/>
      <c r="V16" s="19"/>
      <c r="W16" s="19"/>
      <c r="X16" s="19"/>
      <c r="Y16" s="19"/>
      <c r="Z16" s="19"/>
    </row>
    <row r="17" spans="1:26" ht="21.75" customHeight="1" x14ac:dyDescent="0.3">
      <c r="A17" s="19"/>
      <c r="B17" s="25"/>
      <c r="C17" s="21"/>
      <c r="D17" s="22"/>
      <c r="E17" s="22"/>
      <c r="F17" s="22"/>
      <c r="G17" s="26"/>
      <c r="H17" s="19"/>
      <c r="I17" s="19"/>
      <c r="J17" s="19"/>
      <c r="K17" s="19"/>
      <c r="L17" s="19"/>
      <c r="M17" s="19"/>
      <c r="N17" s="19"/>
      <c r="O17" s="19"/>
      <c r="P17" s="19"/>
      <c r="Q17" s="19"/>
      <c r="R17" s="19"/>
      <c r="S17" s="19"/>
      <c r="T17" s="19"/>
      <c r="U17" s="19"/>
      <c r="V17" s="19"/>
      <c r="W17" s="19"/>
      <c r="X17" s="19"/>
      <c r="Y17" s="19"/>
      <c r="Z17" s="19"/>
    </row>
    <row r="18" spans="1:26" ht="19.5" customHeight="1" x14ac:dyDescent="0.3">
      <c r="A18" s="19"/>
      <c r="B18" s="27"/>
      <c r="C18" s="28"/>
      <c r="D18" s="29"/>
      <c r="E18" s="29"/>
      <c r="F18" s="29"/>
      <c r="G18" s="30"/>
      <c r="H18" s="19"/>
      <c r="I18" s="19"/>
      <c r="J18" s="19"/>
      <c r="K18" s="19"/>
      <c r="L18" s="19"/>
      <c r="M18" s="19"/>
      <c r="N18" s="19"/>
      <c r="O18" s="19"/>
      <c r="P18" s="19"/>
      <c r="Q18" s="19"/>
      <c r="R18" s="19"/>
      <c r="S18" s="19"/>
      <c r="T18" s="19"/>
      <c r="U18" s="19"/>
      <c r="V18" s="19"/>
      <c r="W18" s="19"/>
      <c r="X18" s="19"/>
      <c r="Y18" s="19"/>
      <c r="Z18" s="19"/>
    </row>
    <row r="19" spans="1:26" ht="12.75" customHeight="1" x14ac:dyDescent="0.3">
      <c r="A19" s="2"/>
      <c r="B19" s="3"/>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3">
      <c r="A20" s="2"/>
      <c r="B20" s="3"/>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3">
      <c r="A21" s="2"/>
      <c r="B21" s="3"/>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3">
      <c r="A22" s="2"/>
      <c r="B22" s="3"/>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3">
      <c r="A23" s="2"/>
      <c r="B23" s="3"/>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3">
      <c r="A24" s="2"/>
      <c r="B24" s="3"/>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3">
      <c r="A25" s="2"/>
      <c r="B25" s="3"/>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3">
      <c r="A26" s="2"/>
      <c r="B26" s="3"/>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3">
      <c r="A27" s="2"/>
      <c r="B27" s="3"/>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3">
      <c r="A28" s="2"/>
      <c r="B28" s="3"/>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3">
      <c r="A29" s="2"/>
      <c r="B29" s="3"/>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3">
      <c r="A30" s="2"/>
      <c r="B30" s="3"/>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3">
      <c r="A31" s="2"/>
      <c r="B31" s="3"/>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3">
      <c r="A32" s="2"/>
      <c r="B32" s="3"/>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3">
      <c r="A33" s="2"/>
      <c r="B33" s="3"/>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3">
      <c r="A34" s="2"/>
      <c r="B34" s="3"/>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3">
      <c r="A35" s="2"/>
      <c r="B35" s="3"/>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3">
      <c r="A36" s="2"/>
      <c r="B36" s="3"/>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3">
      <c r="A37" s="2"/>
      <c r="B37" s="3"/>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3">
      <c r="A38" s="2"/>
      <c r="B38" s="3"/>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3">
      <c r="A39" s="2"/>
      <c r="B39" s="3"/>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3">
      <c r="A40" s="2"/>
      <c r="B40" s="3"/>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3">
      <c r="A41" s="2"/>
      <c r="B41" s="3"/>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3">
      <c r="A42" s="2"/>
      <c r="B42" s="3"/>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3">
      <c r="A43" s="2"/>
      <c r="B43" s="3"/>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3">
      <c r="A44" s="2"/>
      <c r="B44" s="3"/>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3">
      <c r="A45" s="2"/>
      <c r="B45" s="3"/>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3">
      <c r="A46" s="2"/>
      <c r="B46" s="3"/>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3">
      <c r="A47" s="2"/>
      <c r="B47" s="3"/>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3">
      <c r="A48" s="2"/>
      <c r="B48" s="3"/>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3">
      <c r="A49" s="2"/>
      <c r="B49" s="3"/>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
      <c r="A50" s="2"/>
      <c r="B50" s="3"/>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3">
      <c r="A51" s="2"/>
      <c r="B51" s="3"/>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3">
      <c r="A52" s="2"/>
      <c r="B52" s="3"/>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3">
      <c r="A53" s="2"/>
      <c r="B53" s="3"/>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3">
      <c r="A54" s="2"/>
      <c r="B54" s="3"/>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3">
      <c r="A55" s="2"/>
      <c r="B55" s="3"/>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3">
      <c r="A56" s="2"/>
      <c r="B56" s="3"/>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3">
      <c r="A57" s="2"/>
      <c r="B57" s="3"/>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3">
      <c r="A58" s="2"/>
      <c r="B58" s="3"/>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3">
      <c r="A59" s="2"/>
      <c r="B59" s="3"/>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
      <c r="A60" s="2"/>
      <c r="B60" s="3"/>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3">
      <c r="A61" s="2"/>
      <c r="B61" s="3"/>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3">
      <c r="A62" s="2"/>
      <c r="B62" s="3"/>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3">
      <c r="A63" s="2"/>
      <c r="B63" s="3"/>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3">
      <c r="A64" s="2"/>
      <c r="B64" s="3"/>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3">
      <c r="A65" s="2"/>
      <c r="B65" s="3"/>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3">
      <c r="A66" s="2"/>
      <c r="B66" s="3"/>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
      <c r="A67" s="2"/>
      <c r="B67" s="3"/>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3">
      <c r="A68" s="2"/>
      <c r="B68" s="3"/>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3">
      <c r="A69" s="2"/>
      <c r="B69" s="3"/>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3">
      <c r="A70" s="2"/>
      <c r="B70" s="3"/>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3">
      <c r="A71" s="2"/>
      <c r="B71" s="3"/>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3">
      <c r="A72" s="2"/>
      <c r="B72" s="3"/>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3">
      <c r="A73" s="2"/>
      <c r="B73" s="3"/>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3">
      <c r="A74" s="2"/>
      <c r="B74" s="3"/>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3">
      <c r="A75" s="2"/>
      <c r="B75" s="3"/>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3">
      <c r="A76" s="2"/>
      <c r="B76" s="3"/>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3">
      <c r="A77" s="2"/>
      <c r="B77" s="3"/>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
      <c r="A78" s="2"/>
      <c r="B78" s="3"/>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
      <c r="A79" s="2"/>
      <c r="B79" s="3"/>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
      <c r="A80" s="2"/>
      <c r="B80" s="3"/>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
      <c r="A81" s="2"/>
      <c r="B81" s="3"/>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
      <c r="A82" s="2"/>
      <c r="B82" s="3"/>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
      <c r="A83" s="2"/>
      <c r="B83" s="3"/>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
      <c r="A84" s="2"/>
      <c r="B84" s="3"/>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
      <c r="A85" s="2"/>
      <c r="B85" s="3"/>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
      <c r="A86" s="2"/>
      <c r="B86" s="3"/>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
      <c r="A87" s="2"/>
      <c r="B87" s="3"/>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
      <c r="A88" s="2"/>
      <c r="B88" s="3"/>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
      <c r="A89" s="2"/>
      <c r="B89" s="3"/>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
      <c r="A90" s="2"/>
      <c r="B90" s="3"/>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
      <c r="A91" s="2"/>
      <c r="B91" s="3"/>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
      <c r="A92" s="2"/>
      <c r="B92" s="3"/>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
      <c r="A93" s="2"/>
      <c r="B93" s="3"/>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
      <c r="A94" s="2"/>
      <c r="B94" s="3"/>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
      <c r="A95" s="2"/>
      <c r="B95" s="3"/>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
      <c r="A96" s="2"/>
      <c r="B96" s="3"/>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
      <c r="A97" s="2"/>
      <c r="B97" s="3"/>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
      <c r="A98" s="2"/>
      <c r="B98" s="3"/>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
      <c r="A99" s="2"/>
      <c r="B99" s="3"/>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row r="222" spans="1:26" ht="14.25" customHeight="1" x14ac:dyDescent="0.3"/>
    <row r="223" spans="1:26" ht="14.25" customHeight="1" x14ac:dyDescent="0.3"/>
    <row r="224" spans="1:26"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6">
    <mergeCell ref="C8:E8"/>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1" width="1.5546875" style="1" customWidth="1"/>
    <col min="2" max="2" width="13.44140625" style="1" customWidth="1"/>
    <col min="3" max="3" width="30.33203125" style="1" customWidth="1"/>
    <col min="4" max="4" width="21.88671875" style="1" customWidth="1"/>
    <col min="5" max="5" width="48" style="1" customWidth="1"/>
    <col min="6" max="6" width="40" style="1" customWidth="1"/>
    <col min="7" max="26" width="9.109375" style="1" customWidth="1"/>
  </cols>
  <sheetData>
    <row r="1" spans="1:26" ht="25.5" customHeight="1" x14ac:dyDescent="0.4">
      <c r="A1" s="8"/>
      <c r="B1" s="31"/>
      <c r="C1" s="32"/>
      <c r="D1" s="33" t="s">
        <v>24</v>
      </c>
      <c r="E1" s="34"/>
      <c r="F1" s="32"/>
      <c r="G1" s="8"/>
      <c r="H1" s="8"/>
      <c r="I1" s="8"/>
      <c r="J1" s="8"/>
      <c r="K1" s="8"/>
      <c r="L1" s="8"/>
      <c r="M1" s="8"/>
      <c r="N1" s="8"/>
      <c r="O1" s="8"/>
      <c r="P1" s="8"/>
      <c r="Q1" s="8"/>
      <c r="R1" s="8"/>
      <c r="S1" s="8"/>
      <c r="T1" s="8"/>
      <c r="U1" s="8"/>
      <c r="V1" s="8"/>
      <c r="W1" s="8"/>
      <c r="X1" s="8"/>
      <c r="Y1" s="8"/>
      <c r="Z1" s="8"/>
    </row>
    <row r="2" spans="1:26" ht="13.5" customHeight="1" x14ac:dyDescent="0.3">
      <c r="A2" s="8"/>
      <c r="B2" s="31"/>
      <c r="C2" s="32"/>
      <c r="D2" s="35"/>
      <c r="E2" s="35"/>
      <c r="F2" s="32"/>
      <c r="G2" s="8"/>
      <c r="H2" s="8"/>
      <c r="I2" s="8"/>
      <c r="J2" s="8"/>
      <c r="K2" s="8"/>
      <c r="L2" s="8"/>
      <c r="M2" s="8"/>
      <c r="N2" s="8"/>
      <c r="O2" s="8"/>
      <c r="P2" s="8"/>
      <c r="Q2" s="8"/>
      <c r="R2" s="8"/>
      <c r="S2" s="8"/>
      <c r="T2" s="8"/>
      <c r="U2" s="8"/>
      <c r="V2" s="8"/>
      <c r="W2" s="8"/>
      <c r="X2" s="8"/>
      <c r="Y2" s="8"/>
      <c r="Z2" s="8"/>
    </row>
    <row r="3" spans="1:26" ht="12.75" customHeight="1" x14ac:dyDescent="0.3">
      <c r="A3" s="8"/>
      <c r="B3" s="119" t="s">
        <v>1</v>
      </c>
      <c r="C3" s="119"/>
      <c r="D3" s="120" t="str">
        <f>Cover!C4</f>
        <v>nopCommerce Demo</v>
      </c>
      <c r="E3" s="120"/>
      <c r="F3" s="120"/>
      <c r="G3" s="8"/>
      <c r="H3" s="8"/>
      <c r="I3" s="8"/>
      <c r="J3" s="8"/>
      <c r="K3" s="8"/>
      <c r="L3" s="8"/>
      <c r="M3" s="8"/>
      <c r="N3" s="8"/>
      <c r="O3" s="8"/>
      <c r="P3" s="8"/>
      <c r="Q3" s="8"/>
      <c r="R3" s="8"/>
      <c r="S3" s="8"/>
      <c r="T3" s="8"/>
      <c r="U3" s="8"/>
      <c r="V3" s="8"/>
      <c r="W3" s="8"/>
      <c r="X3" s="8"/>
      <c r="Y3" s="8"/>
      <c r="Z3" s="8"/>
    </row>
    <row r="4" spans="1:26" ht="12.75" customHeight="1" x14ac:dyDescent="0.3">
      <c r="A4" s="8"/>
      <c r="B4" s="119" t="s">
        <v>5</v>
      </c>
      <c r="C4" s="119"/>
      <c r="D4" s="120" t="str">
        <f>Cover!C5</f>
        <v>NOP</v>
      </c>
      <c r="E4" s="120"/>
      <c r="F4" s="120"/>
      <c r="G4" s="8"/>
      <c r="H4" s="8"/>
      <c r="I4" s="8"/>
      <c r="J4" s="8"/>
      <c r="K4" s="8"/>
      <c r="L4" s="8"/>
      <c r="M4" s="8"/>
      <c r="N4" s="8"/>
      <c r="O4" s="8"/>
      <c r="P4" s="8"/>
      <c r="Q4" s="8"/>
      <c r="R4" s="8"/>
      <c r="S4" s="8"/>
      <c r="T4" s="8"/>
      <c r="U4" s="8"/>
      <c r="V4" s="8"/>
      <c r="W4" s="8"/>
      <c r="X4" s="8"/>
      <c r="Y4" s="8"/>
      <c r="Z4" s="8"/>
    </row>
    <row r="5" spans="1:26" ht="96" customHeight="1" x14ac:dyDescent="0.3">
      <c r="A5" s="36"/>
      <c r="B5" s="121" t="s">
        <v>25</v>
      </c>
      <c r="C5" s="121"/>
      <c r="D5" s="122" t="s">
        <v>26</v>
      </c>
      <c r="E5" s="122"/>
      <c r="F5" s="122"/>
      <c r="G5" s="36"/>
      <c r="H5" s="36"/>
      <c r="I5" s="36"/>
      <c r="J5" s="36"/>
      <c r="K5" s="36"/>
      <c r="L5" s="36"/>
      <c r="M5" s="36"/>
      <c r="N5" s="36"/>
      <c r="O5" s="36"/>
      <c r="P5" s="36"/>
      <c r="Q5" s="36"/>
      <c r="R5" s="36"/>
      <c r="S5" s="36"/>
      <c r="T5" s="36"/>
      <c r="U5" s="36"/>
      <c r="V5" s="36"/>
      <c r="W5" s="36"/>
      <c r="X5" s="36"/>
      <c r="Y5" s="36"/>
      <c r="Z5" s="36"/>
    </row>
    <row r="6" spans="1:26" ht="12.75" customHeight="1" x14ac:dyDescent="0.3">
      <c r="A6" s="8"/>
      <c r="B6" s="37"/>
      <c r="C6" s="8"/>
      <c r="D6" s="8"/>
      <c r="E6" s="8"/>
      <c r="F6" s="8"/>
      <c r="G6" s="8"/>
      <c r="H6" s="8"/>
      <c r="I6" s="8"/>
      <c r="J6" s="8"/>
      <c r="K6" s="8"/>
      <c r="L6" s="8"/>
      <c r="M6" s="8"/>
      <c r="N6" s="8"/>
      <c r="O6" s="8"/>
      <c r="P6" s="8"/>
      <c r="Q6" s="8"/>
      <c r="R6" s="8"/>
      <c r="S6" s="8"/>
      <c r="T6" s="8"/>
      <c r="U6" s="8"/>
      <c r="V6" s="8"/>
      <c r="W6" s="8"/>
      <c r="X6" s="8"/>
      <c r="Y6" s="8"/>
      <c r="Z6" s="8"/>
    </row>
    <row r="7" spans="1:26" ht="12.75" customHeight="1" x14ac:dyDescent="0.3">
      <c r="A7" s="38"/>
      <c r="B7" s="39"/>
      <c r="C7" s="40"/>
      <c r="D7" s="40"/>
      <c r="E7" s="40"/>
      <c r="F7" s="40"/>
      <c r="G7" s="38"/>
      <c r="H7" s="38"/>
      <c r="I7" s="38"/>
      <c r="J7" s="38"/>
      <c r="K7" s="38"/>
      <c r="L7" s="38"/>
      <c r="M7" s="38"/>
      <c r="N7" s="38"/>
      <c r="O7" s="38"/>
      <c r="P7" s="38"/>
      <c r="Q7" s="38"/>
      <c r="R7" s="38"/>
      <c r="S7" s="38"/>
      <c r="T7" s="38"/>
      <c r="U7" s="38"/>
      <c r="V7" s="38"/>
      <c r="W7" s="38"/>
      <c r="X7" s="38"/>
      <c r="Y7" s="38"/>
      <c r="Z7" s="38"/>
    </row>
    <row r="8" spans="1:26" ht="21" customHeight="1" x14ac:dyDescent="0.3">
      <c r="A8" s="41"/>
      <c r="B8" s="42" t="s">
        <v>27</v>
      </c>
      <c r="C8" s="43" t="s">
        <v>28</v>
      </c>
      <c r="D8" s="43" t="s">
        <v>29</v>
      </c>
      <c r="E8" s="44" t="s">
        <v>30</v>
      </c>
      <c r="F8" s="45" t="s">
        <v>31</v>
      </c>
      <c r="G8" s="41"/>
      <c r="H8" s="41"/>
      <c r="I8" s="41"/>
      <c r="J8" s="41"/>
      <c r="K8" s="41"/>
      <c r="L8" s="41"/>
      <c r="M8" s="41"/>
      <c r="N8" s="41"/>
      <c r="O8" s="41"/>
      <c r="P8" s="41"/>
      <c r="Q8" s="41"/>
      <c r="R8" s="41"/>
      <c r="S8" s="41"/>
      <c r="T8" s="41"/>
      <c r="U8" s="41"/>
      <c r="V8" s="41"/>
      <c r="W8" s="41"/>
      <c r="X8" s="41"/>
      <c r="Y8" s="41"/>
      <c r="Z8" s="41"/>
    </row>
    <row r="9" spans="1:26" ht="105" customHeight="1" x14ac:dyDescent="0.3">
      <c r="A9" s="8"/>
      <c r="B9" s="46">
        <v>1</v>
      </c>
      <c r="C9" s="47" t="s">
        <v>32</v>
      </c>
      <c r="D9" s="48" t="s">
        <v>33</v>
      </c>
      <c r="E9" s="49" t="s">
        <v>34</v>
      </c>
      <c r="F9" s="50" t="s">
        <v>35</v>
      </c>
      <c r="G9" s="8"/>
      <c r="H9" s="8"/>
      <c r="I9" s="8"/>
      <c r="J9" s="8"/>
      <c r="K9" s="8"/>
      <c r="L9" s="8"/>
      <c r="M9" s="8"/>
      <c r="N9" s="8"/>
      <c r="O9" s="8"/>
      <c r="P9" s="8"/>
      <c r="Q9" s="8"/>
      <c r="R9" s="8"/>
      <c r="S9" s="8"/>
      <c r="T9" s="8"/>
      <c r="U9" s="8"/>
      <c r="V9" s="8"/>
      <c r="W9" s="8"/>
      <c r="X9" s="8"/>
      <c r="Y9" s="8"/>
      <c r="Z9" s="8"/>
    </row>
    <row r="10" spans="1:26" ht="82.5" customHeight="1" x14ac:dyDescent="0.3">
      <c r="A10" s="8"/>
      <c r="B10" s="46">
        <v>2</v>
      </c>
      <c r="C10" s="47" t="s">
        <v>36</v>
      </c>
      <c r="D10" s="48" t="s">
        <v>37</v>
      </c>
      <c r="E10" s="49" t="s">
        <v>38</v>
      </c>
      <c r="F10" s="50" t="s">
        <v>39</v>
      </c>
      <c r="G10" s="8"/>
      <c r="H10" s="8"/>
      <c r="I10" s="8"/>
      <c r="J10" s="8"/>
      <c r="K10" s="8"/>
      <c r="L10" s="8"/>
      <c r="M10" s="8"/>
      <c r="N10" s="8"/>
      <c r="O10" s="8"/>
      <c r="P10" s="8"/>
      <c r="Q10" s="8"/>
      <c r="R10" s="8"/>
      <c r="S10" s="8"/>
      <c r="T10" s="8"/>
      <c r="U10" s="8"/>
      <c r="V10" s="8"/>
      <c r="W10" s="8"/>
      <c r="X10" s="8"/>
      <c r="Y10" s="8"/>
      <c r="Z10" s="8"/>
    </row>
    <row r="11" spans="1:26" ht="84" customHeight="1" x14ac:dyDescent="0.3">
      <c r="A11" s="8"/>
      <c r="B11" s="46">
        <v>3</v>
      </c>
      <c r="C11" s="47" t="s">
        <v>40</v>
      </c>
      <c r="D11" s="48" t="s">
        <v>41</v>
      </c>
      <c r="E11" s="49" t="s">
        <v>42</v>
      </c>
      <c r="F11" s="50" t="s">
        <v>43</v>
      </c>
      <c r="G11" s="8"/>
      <c r="H11" s="8"/>
      <c r="I11" s="8"/>
      <c r="J11" s="8"/>
      <c r="K11" s="8"/>
      <c r="L11" s="8"/>
      <c r="M11" s="8"/>
      <c r="N11" s="8"/>
      <c r="O11" s="8"/>
      <c r="P11" s="8"/>
      <c r="Q11" s="8"/>
      <c r="R11" s="8"/>
      <c r="S11" s="8"/>
      <c r="T11" s="8"/>
      <c r="U11" s="8"/>
      <c r="V11" s="8"/>
      <c r="W11" s="8"/>
      <c r="X11" s="8"/>
      <c r="Y11" s="8"/>
      <c r="Z11" s="8"/>
    </row>
    <row r="12" spans="1:26" ht="96.75" customHeight="1" x14ac:dyDescent="0.3">
      <c r="A12" s="8"/>
      <c r="B12" s="46">
        <v>4</v>
      </c>
      <c r="C12" s="47" t="s">
        <v>44</v>
      </c>
      <c r="D12" s="48" t="s">
        <v>45</v>
      </c>
      <c r="E12" s="49" t="s">
        <v>46</v>
      </c>
      <c r="F12" s="50" t="s">
        <v>47</v>
      </c>
      <c r="G12" s="8"/>
      <c r="H12" s="8"/>
      <c r="I12" s="8"/>
      <c r="J12" s="8"/>
      <c r="K12" s="8"/>
      <c r="L12" s="8"/>
      <c r="M12" s="8"/>
      <c r="N12" s="8"/>
      <c r="O12" s="8"/>
      <c r="P12" s="8"/>
      <c r="Q12" s="8"/>
      <c r="R12" s="8"/>
      <c r="S12" s="8"/>
      <c r="T12" s="8"/>
      <c r="U12" s="8"/>
      <c r="V12" s="8"/>
      <c r="W12" s="8"/>
      <c r="X12" s="8"/>
      <c r="Y12" s="8"/>
      <c r="Z12" s="8"/>
    </row>
    <row r="13" spans="1:26" ht="12.75" customHeight="1" x14ac:dyDescent="0.3">
      <c r="A13" s="8"/>
      <c r="B13" s="46"/>
      <c r="C13" s="51"/>
      <c r="D13" s="52"/>
      <c r="E13" s="52"/>
      <c r="F13" s="53"/>
      <c r="G13" s="8"/>
      <c r="H13" s="8"/>
      <c r="I13" s="8"/>
      <c r="J13" s="8"/>
      <c r="K13" s="8"/>
      <c r="L13" s="8"/>
      <c r="M13" s="8"/>
      <c r="N13" s="8"/>
      <c r="O13" s="8"/>
      <c r="P13" s="8"/>
      <c r="Q13" s="8"/>
      <c r="R13" s="8"/>
      <c r="S13" s="8"/>
      <c r="T13" s="8"/>
      <c r="U13" s="8"/>
      <c r="V13" s="8"/>
      <c r="W13" s="8"/>
      <c r="X13" s="8"/>
      <c r="Y13" s="8"/>
      <c r="Z13" s="8"/>
    </row>
    <row r="14" spans="1:26" ht="12.75" customHeight="1" x14ac:dyDescent="0.3">
      <c r="A14" s="8"/>
      <c r="B14" s="46"/>
      <c r="C14" s="51"/>
      <c r="D14" s="52"/>
      <c r="E14" s="52"/>
      <c r="F14" s="53"/>
      <c r="G14" s="8"/>
      <c r="H14" s="8"/>
      <c r="I14" s="8"/>
      <c r="J14" s="8"/>
      <c r="K14" s="8"/>
      <c r="L14" s="8"/>
      <c r="M14" s="8"/>
      <c r="N14" s="8"/>
      <c r="O14" s="8"/>
      <c r="P14" s="8"/>
      <c r="Q14" s="8"/>
      <c r="R14" s="8"/>
      <c r="S14" s="8"/>
      <c r="T14" s="8"/>
      <c r="U14" s="8"/>
      <c r="V14" s="8"/>
      <c r="W14" s="8"/>
      <c r="X14" s="8"/>
      <c r="Y14" s="8"/>
      <c r="Z14" s="8"/>
    </row>
    <row r="15" spans="1:26" ht="12.75" customHeight="1" x14ac:dyDescent="0.3">
      <c r="A15" s="8"/>
      <c r="B15" s="46"/>
      <c r="C15" s="51"/>
      <c r="D15" s="52"/>
      <c r="E15" s="52"/>
      <c r="F15" s="53"/>
      <c r="G15" s="8"/>
      <c r="H15" s="8"/>
      <c r="I15" s="8"/>
      <c r="J15" s="8"/>
      <c r="K15" s="8"/>
      <c r="L15" s="8"/>
      <c r="M15" s="8"/>
      <c r="N15" s="8"/>
      <c r="O15" s="8"/>
      <c r="P15" s="8"/>
      <c r="Q15" s="8"/>
      <c r="R15" s="8"/>
      <c r="S15" s="8"/>
      <c r="T15" s="8"/>
      <c r="U15" s="8"/>
      <c r="V15" s="8"/>
      <c r="W15" s="8"/>
      <c r="X15" s="8"/>
      <c r="Y15" s="8"/>
      <c r="Z15" s="8"/>
    </row>
    <row r="16" spans="1:26" ht="12.75" customHeight="1" x14ac:dyDescent="0.3">
      <c r="A16" s="8"/>
      <c r="B16" s="46"/>
      <c r="C16" s="51"/>
      <c r="D16" s="52"/>
      <c r="E16" s="52"/>
      <c r="F16" s="53"/>
      <c r="G16" s="8"/>
      <c r="H16" s="8"/>
      <c r="I16" s="8"/>
      <c r="J16" s="8"/>
      <c r="K16" s="8"/>
      <c r="L16" s="8"/>
      <c r="M16" s="8"/>
      <c r="N16" s="8"/>
      <c r="O16" s="8"/>
      <c r="P16" s="8"/>
      <c r="Q16" s="8"/>
      <c r="R16" s="8"/>
      <c r="S16" s="8"/>
      <c r="T16" s="8"/>
      <c r="U16" s="8"/>
      <c r="V16" s="8"/>
      <c r="W16" s="8"/>
      <c r="X16" s="8"/>
      <c r="Y16" s="8"/>
      <c r="Z16" s="8"/>
    </row>
    <row r="17" spans="1:26" ht="12.75" customHeight="1" x14ac:dyDescent="0.3">
      <c r="A17" s="8"/>
      <c r="B17" s="46"/>
      <c r="C17" s="51"/>
      <c r="D17" s="52"/>
      <c r="E17" s="52"/>
      <c r="F17" s="53"/>
      <c r="G17" s="8"/>
      <c r="H17" s="8"/>
      <c r="I17" s="8"/>
      <c r="J17" s="8"/>
      <c r="K17" s="8"/>
      <c r="L17" s="8"/>
      <c r="M17" s="8"/>
      <c r="N17" s="8"/>
      <c r="O17" s="8"/>
      <c r="P17" s="8"/>
      <c r="Q17" s="8"/>
      <c r="R17" s="8"/>
      <c r="S17" s="8"/>
      <c r="T17" s="8"/>
      <c r="U17" s="8"/>
      <c r="V17" s="8"/>
      <c r="W17" s="8"/>
      <c r="X17" s="8"/>
      <c r="Y17" s="8"/>
      <c r="Z17" s="8"/>
    </row>
    <row r="18" spans="1:26" ht="12.75" customHeight="1" x14ac:dyDescent="0.3">
      <c r="A18" s="8"/>
      <c r="B18" s="54"/>
      <c r="C18" s="55"/>
      <c r="D18" s="56"/>
      <c r="E18" s="56"/>
      <c r="F18" s="57"/>
      <c r="G18" s="8"/>
      <c r="H18" s="8"/>
      <c r="I18" s="8"/>
      <c r="J18" s="8"/>
      <c r="K18" s="8"/>
      <c r="L18" s="8"/>
      <c r="M18" s="8"/>
      <c r="N18" s="8"/>
      <c r="O18" s="8"/>
      <c r="P18" s="8"/>
      <c r="Q18" s="8"/>
      <c r="R18" s="8"/>
      <c r="S18" s="8"/>
      <c r="T18" s="8"/>
      <c r="U18" s="8"/>
      <c r="V18" s="8"/>
      <c r="W18" s="8"/>
      <c r="X18" s="8"/>
      <c r="Y18" s="8"/>
      <c r="Z18" s="8"/>
    </row>
    <row r="19" spans="1:26" ht="12.75" customHeight="1" x14ac:dyDescent="0.3">
      <c r="A19" s="8"/>
      <c r="B19" s="31"/>
      <c r="C19" s="32"/>
      <c r="D19" s="32"/>
      <c r="E19" s="32"/>
      <c r="F19" s="32"/>
      <c r="G19" s="8"/>
      <c r="H19" s="8"/>
      <c r="I19" s="8"/>
      <c r="J19" s="8"/>
      <c r="K19" s="8"/>
      <c r="L19" s="8"/>
      <c r="M19" s="8"/>
      <c r="N19" s="8"/>
      <c r="O19" s="8"/>
      <c r="P19" s="8"/>
      <c r="Q19" s="8"/>
      <c r="R19" s="8"/>
      <c r="S19" s="8"/>
      <c r="T19" s="8"/>
      <c r="U19" s="8"/>
      <c r="V19" s="8"/>
      <c r="W19" s="8"/>
      <c r="X19" s="8"/>
      <c r="Y19" s="8"/>
      <c r="Z19" s="8"/>
    </row>
    <row r="20" spans="1:26" ht="12.75" customHeight="1" x14ac:dyDescent="0.3">
      <c r="A20" s="8"/>
      <c r="B20" s="31"/>
      <c r="C20" s="32"/>
      <c r="D20" s="32"/>
      <c r="E20" s="32"/>
      <c r="F20" s="32"/>
      <c r="G20" s="8"/>
      <c r="H20" s="8"/>
      <c r="I20" s="8"/>
      <c r="J20" s="8"/>
      <c r="K20" s="8"/>
      <c r="L20" s="8"/>
      <c r="M20" s="8"/>
      <c r="N20" s="8"/>
      <c r="O20" s="8"/>
      <c r="P20" s="8"/>
      <c r="Q20" s="8"/>
      <c r="R20" s="8"/>
      <c r="S20" s="8"/>
      <c r="T20" s="8"/>
      <c r="U20" s="8"/>
      <c r="V20" s="8"/>
      <c r="W20" s="8"/>
      <c r="X20" s="8"/>
      <c r="Y20" s="8"/>
      <c r="Z20" s="8"/>
    </row>
    <row r="21" spans="1:26" ht="12.75" customHeight="1" x14ac:dyDescent="0.3">
      <c r="A21" s="8"/>
      <c r="B21" s="31"/>
      <c r="C21" s="32"/>
      <c r="D21" s="32"/>
      <c r="E21" s="32"/>
      <c r="F21" s="32"/>
      <c r="G21" s="8"/>
      <c r="H21" s="8"/>
      <c r="I21" s="8"/>
      <c r="J21" s="8"/>
      <c r="K21" s="8"/>
      <c r="L21" s="8"/>
      <c r="M21" s="8"/>
      <c r="N21" s="8"/>
      <c r="O21" s="8"/>
      <c r="P21" s="8"/>
      <c r="Q21" s="8"/>
      <c r="R21" s="8"/>
      <c r="S21" s="8"/>
      <c r="T21" s="8"/>
      <c r="U21" s="8"/>
      <c r="V21" s="8"/>
      <c r="W21" s="8"/>
      <c r="X21" s="8"/>
      <c r="Y21" s="8"/>
      <c r="Z21" s="8"/>
    </row>
    <row r="22" spans="1:26" ht="12.75" customHeight="1" x14ac:dyDescent="0.3">
      <c r="A22" s="8"/>
      <c r="B22" s="31"/>
      <c r="C22" s="32"/>
      <c r="D22" s="32"/>
      <c r="E22" s="32"/>
      <c r="F22" s="32"/>
      <c r="G22" s="8"/>
      <c r="H22" s="8"/>
      <c r="I22" s="8"/>
      <c r="J22" s="8"/>
      <c r="K22" s="8"/>
      <c r="L22" s="8"/>
      <c r="M22" s="8"/>
      <c r="N22" s="8"/>
      <c r="O22" s="8"/>
      <c r="P22" s="8"/>
      <c r="Q22" s="8"/>
      <c r="R22" s="8"/>
      <c r="S22" s="8"/>
      <c r="T22" s="8"/>
      <c r="U22" s="8"/>
      <c r="V22" s="8"/>
      <c r="W22" s="8"/>
      <c r="X22" s="8"/>
      <c r="Y22" s="8"/>
      <c r="Z22" s="8"/>
    </row>
    <row r="23" spans="1:26" ht="12.75" customHeight="1" x14ac:dyDescent="0.3">
      <c r="A23" s="8"/>
      <c r="B23" s="31"/>
      <c r="C23" s="32"/>
      <c r="D23" s="32"/>
      <c r="E23" s="32"/>
      <c r="F23" s="32"/>
      <c r="G23" s="8"/>
      <c r="H23" s="8"/>
      <c r="I23" s="8"/>
      <c r="J23" s="8"/>
      <c r="K23" s="8"/>
      <c r="L23" s="8"/>
      <c r="M23" s="8"/>
      <c r="N23" s="8"/>
      <c r="O23" s="8"/>
      <c r="P23" s="8"/>
      <c r="Q23" s="8"/>
      <c r="R23" s="8"/>
      <c r="S23" s="8"/>
      <c r="T23" s="8"/>
      <c r="U23" s="8"/>
      <c r="V23" s="8"/>
      <c r="W23" s="8"/>
      <c r="X23" s="8"/>
      <c r="Y23" s="8"/>
      <c r="Z23" s="8"/>
    </row>
    <row r="24" spans="1:26" ht="12.75" customHeight="1" x14ac:dyDescent="0.3">
      <c r="A24" s="8"/>
      <c r="B24" s="31"/>
      <c r="C24" s="32"/>
      <c r="D24" s="32"/>
      <c r="E24" s="32"/>
      <c r="F24" s="32"/>
      <c r="G24" s="8"/>
      <c r="H24" s="8"/>
      <c r="I24" s="8"/>
      <c r="J24" s="8"/>
      <c r="K24" s="8"/>
      <c r="L24" s="8"/>
      <c r="M24" s="8"/>
      <c r="N24" s="8"/>
      <c r="O24" s="8"/>
      <c r="P24" s="8"/>
      <c r="Q24" s="8"/>
      <c r="R24" s="8"/>
      <c r="S24" s="8"/>
      <c r="T24" s="8"/>
      <c r="U24" s="8"/>
      <c r="V24" s="8"/>
      <c r="W24" s="8"/>
      <c r="X24" s="8"/>
      <c r="Y24" s="8"/>
      <c r="Z24" s="8"/>
    </row>
    <row r="25" spans="1:26" ht="12.75" customHeight="1" x14ac:dyDescent="0.3">
      <c r="A25" s="8"/>
      <c r="B25" s="31"/>
      <c r="C25" s="32"/>
      <c r="D25" s="32"/>
      <c r="E25" s="32"/>
      <c r="F25" s="32"/>
      <c r="G25" s="8"/>
      <c r="H25" s="8"/>
      <c r="I25" s="8"/>
      <c r="J25" s="8"/>
      <c r="K25" s="8"/>
      <c r="L25" s="8"/>
      <c r="M25" s="8"/>
      <c r="N25" s="8"/>
      <c r="O25" s="8"/>
      <c r="P25" s="8"/>
      <c r="Q25" s="8"/>
      <c r="R25" s="8"/>
      <c r="S25" s="8"/>
      <c r="T25" s="8"/>
      <c r="U25" s="8"/>
      <c r="V25" s="8"/>
      <c r="W25" s="8"/>
      <c r="X25" s="8"/>
      <c r="Y25" s="8"/>
      <c r="Z25" s="8"/>
    </row>
    <row r="26" spans="1:26" ht="12.75" customHeight="1" x14ac:dyDescent="0.3">
      <c r="A26" s="8"/>
      <c r="B26" s="31"/>
      <c r="C26" s="32"/>
      <c r="D26" s="32"/>
      <c r="E26" s="32"/>
      <c r="F26" s="32"/>
      <c r="G26" s="8"/>
      <c r="H26" s="8"/>
      <c r="I26" s="8"/>
      <c r="J26" s="8"/>
      <c r="K26" s="8"/>
      <c r="L26" s="8"/>
      <c r="M26" s="8"/>
      <c r="N26" s="8"/>
      <c r="O26" s="8"/>
      <c r="P26" s="8"/>
      <c r="Q26" s="8"/>
      <c r="R26" s="8"/>
      <c r="S26" s="8"/>
      <c r="T26" s="8"/>
      <c r="U26" s="8"/>
      <c r="V26" s="8"/>
      <c r="W26" s="8"/>
      <c r="X26" s="8"/>
      <c r="Y26" s="8"/>
      <c r="Z26" s="8"/>
    </row>
    <row r="27" spans="1:26" ht="12.75" customHeight="1" x14ac:dyDescent="0.3">
      <c r="A27" s="8"/>
      <c r="B27" s="31"/>
      <c r="C27" s="32"/>
      <c r="D27" s="32"/>
      <c r="E27" s="32"/>
      <c r="F27" s="32"/>
      <c r="G27" s="8"/>
      <c r="H27" s="8"/>
      <c r="I27" s="8"/>
      <c r="J27" s="8"/>
      <c r="K27" s="8"/>
      <c r="L27" s="8"/>
      <c r="M27" s="8"/>
      <c r="N27" s="8"/>
      <c r="O27" s="8"/>
      <c r="P27" s="8"/>
      <c r="Q27" s="8"/>
      <c r="R27" s="8"/>
      <c r="S27" s="8"/>
      <c r="T27" s="8"/>
      <c r="U27" s="8"/>
      <c r="V27" s="8"/>
      <c r="W27" s="8"/>
      <c r="X27" s="8"/>
      <c r="Y27" s="8"/>
      <c r="Z27" s="8"/>
    </row>
    <row r="28" spans="1:26" ht="12.75" customHeight="1" x14ac:dyDescent="0.3">
      <c r="A28" s="8"/>
      <c r="B28" s="31"/>
      <c r="C28" s="32"/>
      <c r="D28" s="32"/>
      <c r="E28" s="32"/>
      <c r="F28" s="32"/>
      <c r="G28" s="8"/>
      <c r="H28" s="8"/>
      <c r="I28" s="8"/>
      <c r="J28" s="8"/>
      <c r="K28" s="8"/>
      <c r="L28" s="8"/>
      <c r="M28" s="8"/>
      <c r="N28" s="8"/>
      <c r="O28" s="8"/>
      <c r="P28" s="8"/>
      <c r="Q28" s="8"/>
      <c r="R28" s="8"/>
      <c r="S28" s="8"/>
      <c r="T28" s="8"/>
      <c r="U28" s="8"/>
      <c r="V28" s="8"/>
      <c r="W28" s="8"/>
      <c r="X28" s="8"/>
      <c r="Y28" s="8"/>
      <c r="Z28" s="8"/>
    </row>
    <row r="29" spans="1:26" ht="12.75" customHeight="1" x14ac:dyDescent="0.3">
      <c r="A29" s="8"/>
      <c r="B29" s="31"/>
      <c r="C29" s="32"/>
      <c r="D29" s="32"/>
      <c r="E29" s="32"/>
      <c r="F29" s="32"/>
      <c r="G29" s="8"/>
      <c r="H29" s="8"/>
      <c r="I29" s="8"/>
      <c r="J29" s="8"/>
      <c r="K29" s="8"/>
      <c r="L29" s="8"/>
      <c r="M29" s="8"/>
      <c r="N29" s="8"/>
      <c r="O29" s="8"/>
      <c r="P29" s="8"/>
      <c r="Q29" s="8"/>
      <c r="R29" s="8"/>
      <c r="S29" s="8"/>
      <c r="T29" s="8"/>
      <c r="U29" s="8"/>
      <c r="V29" s="8"/>
      <c r="W29" s="8"/>
      <c r="X29" s="8"/>
      <c r="Y29" s="8"/>
      <c r="Z29" s="8"/>
    </row>
    <row r="30" spans="1:26" ht="12.75" customHeight="1" x14ac:dyDescent="0.3">
      <c r="A30" s="8"/>
      <c r="B30" s="31"/>
      <c r="C30" s="32"/>
      <c r="D30" s="32"/>
      <c r="E30" s="32"/>
      <c r="F30" s="32"/>
      <c r="G30" s="8"/>
      <c r="H30" s="8"/>
      <c r="I30" s="8"/>
      <c r="J30" s="8"/>
      <c r="K30" s="8"/>
      <c r="L30" s="8"/>
      <c r="M30" s="8"/>
      <c r="N30" s="8"/>
      <c r="O30" s="8"/>
      <c r="P30" s="8"/>
      <c r="Q30" s="8"/>
      <c r="R30" s="8"/>
      <c r="S30" s="8"/>
      <c r="T30" s="8"/>
      <c r="U30" s="8"/>
      <c r="V30" s="8"/>
      <c r="W30" s="8"/>
      <c r="X30" s="8"/>
      <c r="Y30" s="8"/>
      <c r="Z30" s="8"/>
    </row>
    <row r="31" spans="1:26" ht="12.75" customHeight="1" x14ac:dyDescent="0.3">
      <c r="A31" s="8"/>
      <c r="B31" s="31"/>
      <c r="C31" s="32"/>
      <c r="D31" s="32"/>
      <c r="E31" s="32"/>
      <c r="F31" s="32"/>
      <c r="G31" s="8"/>
      <c r="H31" s="8"/>
      <c r="I31" s="8"/>
      <c r="J31" s="8"/>
      <c r="K31" s="8"/>
      <c r="L31" s="8"/>
      <c r="M31" s="8"/>
      <c r="N31" s="8"/>
      <c r="O31" s="8"/>
      <c r="P31" s="8"/>
      <c r="Q31" s="8"/>
      <c r="R31" s="8"/>
      <c r="S31" s="8"/>
      <c r="T31" s="8"/>
      <c r="U31" s="8"/>
      <c r="V31" s="8"/>
      <c r="W31" s="8"/>
      <c r="X31" s="8"/>
      <c r="Y31" s="8"/>
      <c r="Z31" s="8"/>
    </row>
    <row r="32" spans="1:26" ht="12.75" customHeight="1" x14ac:dyDescent="0.3">
      <c r="A32" s="8"/>
      <c r="B32" s="31"/>
      <c r="C32" s="32"/>
      <c r="D32" s="32"/>
      <c r="E32" s="32"/>
      <c r="F32" s="32"/>
      <c r="G32" s="8"/>
      <c r="H32" s="8"/>
      <c r="I32" s="8"/>
      <c r="J32" s="8"/>
      <c r="K32" s="8"/>
      <c r="L32" s="8"/>
      <c r="M32" s="8"/>
      <c r="N32" s="8"/>
      <c r="O32" s="8"/>
      <c r="P32" s="8"/>
      <c r="Q32" s="8"/>
      <c r="R32" s="8"/>
      <c r="S32" s="8"/>
      <c r="T32" s="8"/>
      <c r="U32" s="8"/>
      <c r="V32" s="8"/>
      <c r="W32" s="8"/>
      <c r="X32" s="8"/>
      <c r="Y32" s="8"/>
      <c r="Z32" s="8"/>
    </row>
    <row r="33" spans="1:26" ht="12.75" customHeight="1" x14ac:dyDescent="0.3">
      <c r="A33" s="8"/>
      <c r="B33" s="31"/>
      <c r="C33" s="32"/>
      <c r="D33" s="32"/>
      <c r="E33" s="32"/>
      <c r="F33" s="32"/>
      <c r="G33" s="8"/>
      <c r="H33" s="8"/>
      <c r="I33" s="8"/>
      <c r="J33" s="8"/>
      <c r="K33" s="8"/>
      <c r="L33" s="8"/>
      <c r="M33" s="8"/>
      <c r="N33" s="8"/>
      <c r="O33" s="8"/>
      <c r="P33" s="8"/>
      <c r="Q33" s="8"/>
      <c r="R33" s="8"/>
      <c r="S33" s="8"/>
      <c r="T33" s="8"/>
      <c r="U33" s="8"/>
      <c r="V33" s="8"/>
      <c r="W33" s="8"/>
      <c r="X33" s="8"/>
      <c r="Y33" s="8"/>
      <c r="Z33" s="8"/>
    </row>
    <row r="34" spans="1:26" ht="12.75" customHeight="1" x14ac:dyDescent="0.3">
      <c r="A34" s="8"/>
      <c r="B34" s="31"/>
      <c r="C34" s="32"/>
      <c r="D34" s="32"/>
      <c r="E34" s="32"/>
      <c r="F34" s="32"/>
      <c r="G34" s="8"/>
      <c r="H34" s="8"/>
      <c r="I34" s="8"/>
      <c r="J34" s="8"/>
      <c r="K34" s="8"/>
      <c r="L34" s="8"/>
      <c r="M34" s="8"/>
      <c r="N34" s="8"/>
      <c r="O34" s="8"/>
      <c r="P34" s="8"/>
      <c r="Q34" s="8"/>
      <c r="R34" s="8"/>
      <c r="S34" s="8"/>
      <c r="T34" s="8"/>
      <c r="U34" s="8"/>
      <c r="V34" s="8"/>
      <c r="W34" s="8"/>
      <c r="X34" s="8"/>
      <c r="Y34" s="8"/>
      <c r="Z34" s="8"/>
    </row>
    <row r="35" spans="1:26" ht="12.75" customHeight="1" x14ac:dyDescent="0.3">
      <c r="A35" s="8"/>
      <c r="B35" s="31"/>
      <c r="C35" s="32"/>
      <c r="D35" s="32"/>
      <c r="E35" s="32"/>
      <c r="F35" s="32"/>
      <c r="G35" s="8"/>
      <c r="H35" s="8"/>
      <c r="I35" s="8"/>
      <c r="J35" s="8"/>
      <c r="K35" s="8"/>
      <c r="L35" s="8"/>
      <c r="M35" s="8"/>
      <c r="N35" s="8"/>
      <c r="O35" s="8"/>
      <c r="P35" s="8"/>
      <c r="Q35" s="8"/>
      <c r="R35" s="8"/>
      <c r="S35" s="8"/>
      <c r="T35" s="8"/>
      <c r="U35" s="8"/>
      <c r="V35" s="8"/>
      <c r="W35" s="8"/>
      <c r="X35" s="8"/>
      <c r="Y35" s="8"/>
      <c r="Z35" s="8"/>
    </row>
    <row r="36" spans="1:26" ht="12.75" customHeight="1" x14ac:dyDescent="0.3">
      <c r="A36" s="8"/>
      <c r="B36" s="31"/>
      <c r="C36" s="32"/>
      <c r="D36" s="32"/>
      <c r="E36" s="32"/>
      <c r="F36" s="32"/>
      <c r="G36" s="8"/>
      <c r="H36" s="8"/>
      <c r="I36" s="8"/>
      <c r="J36" s="8"/>
      <c r="K36" s="8"/>
      <c r="L36" s="8"/>
      <c r="M36" s="8"/>
      <c r="N36" s="8"/>
      <c r="O36" s="8"/>
      <c r="P36" s="8"/>
      <c r="Q36" s="8"/>
      <c r="R36" s="8"/>
      <c r="S36" s="8"/>
      <c r="T36" s="8"/>
      <c r="U36" s="8"/>
      <c r="V36" s="8"/>
      <c r="W36" s="8"/>
      <c r="X36" s="8"/>
      <c r="Y36" s="8"/>
      <c r="Z36" s="8"/>
    </row>
    <row r="37" spans="1:26" ht="12.75" customHeight="1" x14ac:dyDescent="0.3">
      <c r="A37" s="8"/>
      <c r="B37" s="31"/>
      <c r="C37" s="32"/>
      <c r="D37" s="32"/>
      <c r="E37" s="32"/>
      <c r="F37" s="32"/>
      <c r="G37" s="8"/>
      <c r="H37" s="8"/>
      <c r="I37" s="8"/>
      <c r="J37" s="8"/>
      <c r="K37" s="8"/>
      <c r="L37" s="8"/>
      <c r="M37" s="8"/>
      <c r="N37" s="8"/>
      <c r="O37" s="8"/>
      <c r="P37" s="8"/>
      <c r="Q37" s="8"/>
      <c r="R37" s="8"/>
      <c r="S37" s="8"/>
      <c r="T37" s="8"/>
      <c r="U37" s="8"/>
      <c r="V37" s="8"/>
      <c r="W37" s="8"/>
      <c r="X37" s="8"/>
      <c r="Y37" s="8"/>
      <c r="Z37" s="8"/>
    </row>
    <row r="38" spans="1:26" ht="12.75" customHeight="1" x14ac:dyDescent="0.3">
      <c r="A38" s="8"/>
      <c r="B38" s="31"/>
      <c r="C38" s="32"/>
      <c r="D38" s="32"/>
      <c r="E38" s="32"/>
      <c r="F38" s="32"/>
      <c r="G38" s="8"/>
      <c r="H38" s="8"/>
      <c r="I38" s="8"/>
      <c r="J38" s="8"/>
      <c r="K38" s="8"/>
      <c r="L38" s="8"/>
      <c r="M38" s="8"/>
      <c r="N38" s="8"/>
      <c r="O38" s="8"/>
      <c r="P38" s="8"/>
      <c r="Q38" s="8"/>
      <c r="R38" s="8"/>
      <c r="S38" s="8"/>
      <c r="T38" s="8"/>
      <c r="U38" s="8"/>
      <c r="V38" s="8"/>
      <c r="W38" s="8"/>
      <c r="X38" s="8"/>
      <c r="Y38" s="8"/>
      <c r="Z38" s="8"/>
    </row>
    <row r="39" spans="1:26" ht="12.75" customHeight="1" x14ac:dyDescent="0.3">
      <c r="A39" s="8"/>
      <c r="B39" s="31"/>
      <c r="C39" s="32"/>
      <c r="D39" s="32"/>
      <c r="E39" s="32"/>
      <c r="F39" s="32"/>
      <c r="G39" s="8"/>
      <c r="H39" s="8"/>
      <c r="I39" s="8"/>
      <c r="J39" s="8"/>
      <c r="K39" s="8"/>
      <c r="L39" s="8"/>
      <c r="M39" s="8"/>
      <c r="N39" s="8"/>
      <c r="O39" s="8"/>
      <c r="P39" s="8"/>
      <c r="Q39" s="8"/>
      <c r="R39" s="8"/>
      <c r="S39" s="8"/>
      <c r="T39" s="8"/>
      <c r="U39" s="8"/>
      <c r="V39" s="8"/>
      <c r="W39" s="8"/>
      <c r="X39" s="8"/>
      <c r="Y39" s="8"/>
      <c r="Z39" s="8"/>
    </row>
    <row r="40" spans="1:26" ht="12.75" customHeight="1" x14ac:dyDescent="0.3">
      <c r="A40" s="8"/>
      <c r="B40" s="31"/>
      <c r="C40" s="32"/>
      <c r="D40" s="32"/>
      <c r="E40" s="32"/>
      <c r="F40" s="32"/>
      <c r="G40" s="8"/>
      <c r="H40" s="8"/>
      <c r="I40" s="8"/>
      <c r="J40" s="8"/>
      <c r="K40" s="8"/>
      <c r="L40" s="8"/>
      <c r="M40" s="8"/>
      <c r="N40" s="8"/>
      <c r="O40" s="8"/>
      <c r="P40" s="8"/>
      <c r="Q40" s="8"/>
      <c r="R40" s="8"/>
      <c r="S40" s="8"/>
      <c r="T40" s="8"/>
      <c r="U40" s="8"/>
      <c r="V40" s="8"/>
      <c r="W40" s="8"/>
      <c r="X40" s="8"/>
      <c r="Y40" s="8"/>
      <c r="Z40" s="8"/>
    </row>
    <row r="41" spans="1:26" ht="12.75" customHeight="1" x14ac:dyDescent="0.3">
      <c r="A41" s="8"/>
      <c r="B41" s="31"/>
      <c r="C41" s="32"/>
      <c r="D41" s="32"/>
      <c r="E41" s="32"/>
      <c r="F41" s="32"/>
      <c r="G41" s="8"/>
      <c r="H41" s="8"/>
      <c r="I41" s="8"/>
      <c r="J41" s="8"/>
      <c r="K41" s="8"/>
      <c r="L41" s="8"/>
      <c r="M41" s="8"/>
      <c r="N41" s="8"/>
      <c r="O41" s="8"/>
      <c r="P41" s="8"/>
      <c r="Q41" s="8"/>
      <c r="R41" s="8"/>
      <c r="S41" s="8"/>
      <c r="T41" s="8"/>
      <c r="U41" s="8"/>
      <c r="V41" s="8"/>
      <c r="W41" s="8"/>
      <c r="X41" s="8"/>
      <c r="Y41" s="8"/>
      <c r="Z41" s="8"/>
    </row>
    <row r="42" spans="1:26" ht="12.75" customHeight="1" x14ac:dyDescent="0.3">
      <c r="A42" s="8"/>
      <c r="B42" s="31"/>
      <c r="C42" s="32"/>
      <c r="D42" s="32"/>
      <c r="E42" s="32"/>
      <c r="F42" s="32"/>
      <c r="G42" s="8"/>
      <c r="H42" s="8"/>
      <c r="I42" s="8"/>
      <c r="J42" s="8"/>
      <c r="K42" s="8"/>
      <c r="L42" s="8"/>
      <c r="M42" s="8"/>
      <c r="N42" s="8"/>
      <c r="O42" s="8"/>
      <c r="P42" s="8"/>
      <c r="Q42" s="8"/>
      <c r="R42" s="8"/>
      <c r="S42" s="8"/>
      <c r="T42" s="8"/>
      <c r="U42" s="8"/>
      <c r="V42" s="8"/>
      <c r="W42" s="8"/>
      <c r="X42" s="8"/>
      <c r="Y42" s="8"/>
      <c r="Z42" s="8"/>
    </row>
    <row r="43" spans="1:26" ht="12.75" customHeight="1" x14ac:dyDescent="0.3">
      <c r="A43" s="8"/>
      <c r="B43" s="31"/>
      <c r="C43" s="32"/>
      <c r="D43" s="32"/>
      <c r="E43" s="32"/>
      <c r="F43" s="32"/>
      <c r="G43" s="8"/>
      <c r="H43" s="8"/>
      <c r="I43" s="8"/>
      <c r="J43" s="8"/>
      <c r="K43" s="8"/>
      <c r="L43" s="8"/>
      <c r="M43" s="8"/>
      <c r="N43" s="8"/>
      <c r="O43" s="8"/>
      <c r="P43" s="8"/>
      <c r="Q43" s="8"/>
      <c r="R43" s="8"/>
      <c r="S43" s="8"/>
      <c r="T43" s="8"/>
      <c r="U43" s="8"/>
      <c r="V43" s="8"/>
      <c r="W43" s="8"/>
      <c r="X43" s="8"/>
      <c r="Y43" s="8"/>
      <c r="Z43" s="8"/>
    </row>
    <row r="44" spans="1:26" ht="12.75" customHeight="1" x14ac:dyDescent="0.3">
      <c r="A44" s="8"/>
      <c r="B44" s="31"/>
      <c r="C44" s="32"/>
      <c r="D44" s="32"/>
      <c r="E44" s="32"/>
      <c r="F44" s="32"/>
      <c r="G44" s="8"/>
      <c r="H44" s="8"/>
      <c r="I44" s="8"/>
      <c r="J44" s="8"/>
      <c r="K44" s="8"/>
      <c r="L44" s="8"/>
      <c r="M44" s="8"/>
      <c r="N44" s="8"/>
      <c r="O44" s="8"/>
      <c r="P44" s="8"/>
      <c r="Q44" s="8"/>
      <c r="R44" s="8"/>
      <c r="S44" s="8"/>
      <c r="T44" s="8"/>
      <c r="U44" s="8"/>
      <c r="V44" s="8"/>
      <c r="W44" s="8"/>
      <c r="X44" s="8"/>
      <c r="Y44" s="8"/>
      <c r="Z44" s="8"/>
    </row>
    <row r="45" spans="1:26" ht="12.75" customHeight="1" x14ac:dyDescent="0.3">
      <c r="A45" s="8"/>
      <c r="B45" s="31"/>
      <c r="C45" s="32"/>
      <c r="D45" s="32"/>
      <c r="E45" s="32"/>
      <c r="F45" s="32"/>
      <c r="G45" s="8"/>
      <c r="H45" s="8"/>
      <c r="I45" s="8"/>
      <c r="J45" s="8"/>
      <c r="K45" s="8"/>
      <c r="L45" s="8"/>
      <c r="M45" s="8"/>
      <c r="N45" s="8"/>
      <c r="O45" s="8"/>
      <c r="P45" s="8"/>
      <c r="Q45" s="8"/>
      <c r="R45" s="8"/>
      <c r="S45" s="8"/>
      <c r="T45" s="8"/>
      <c r="U45" s="8"/>
      <c r="V45" s="8"/>
      <c r="W45" s="8"/>
      <c r="X45" s="8"/>
      <c r="Y45" s="8"/>
      <c r="Z45" s="8"/>
    </row>
    <row r="46" spans="1:26" ht="12.75" customHeight="1" x14ac:dyDescent="0.3">
      <c r="A46" s="8"/>
      <c r="B46" s="31"/>
      <c r="C46" s="32"/>
      <c r="D46" s="32"/>
      <c r="E46" s="32"/>
      <c r="F46" s="32"/>
      <c r="G46" s="8"/>
      <c r="H46" s="8"/>
      <c r="I46" s="8"/>
      <c r="J46" s="8"/>
      <c r="K46" s="8"/>
      <c r="L46" s="8"/>
      <c r="M46" s="8"/>
      <c r="N46" s="8"/>
      <c r="O46" s="8"/>
      <c r="P46" s="8"/>
      <c r="Q46" s="8"/>
      <c r="R46" s="8"/>
      <c r="S46" s="8"/>
      <c r="T46" s="8"/>
      <c r="U46" s="8"/>
      <c r="V46" s="8"/>
      <c r="W46" s="8"/>
      <c r="X46" s="8"/>
      <c r="Y46" s="8"/>
      <c r="Z46" s="8"/>
    </row>
    <row r="47" spans="1:26" ht="12.75" customHeight="1" x14ac:dyDescent="0.3">
      <c r="A47" s="8"/>
      <c r="B47" s="31"/>
      <c r="C47" s="32"/>
      <c r="D47" s="32"/>
      <c r="E47" s="32"/>
      <c r="F47" s="32"/>
      <c r="G47" s="8"/>
      <c r="H47" s="8"/>
      <c r="I47" s="8"/>
      <c r="J47" s="8"/>
      <c r="K47" s="8"/>
      <c r="L47" s="8"/>
      <c r="M47" s="8"/>
      <c r="N47" s="8"/>
      <c r="O47" s="8"/>
      <c r="P47" s="8"/>
      <c r="Q47" s="8"/>
      <c r="R47" s="8"/>
      <c r="S47" s="8"/>
      <c r="T47" s="8"/>
      <c r="U47" s="8"/>
      <c r="V47" s="8"/>
      <c r="W47" s="8"/>
      <c r="X47" s="8"/>
      <c r="Y47" s="8"/>
      <c r="Z47" s="8"/>
    </row>
    <row r="48" spans="1:26" ht="12.75" customHeight="1" x14ac:dyDescent="0.3">
      <c r="A48" s="8"/>
      <c r="B48" s="31"/>
      <c r="C48" s="32"/>
      <c r="D48" s="32"/>
      <c r="E48" s="32"/>
      <c r="F48" s="32"/>
      <c r="G48" s="8"/>
      <c r="H48" s="8"/>
      <c r="I48" s="8"/>
      <c r="J48" s="8"/>
      <c r="K48" s="8"/>
      <c r="L48" s="8"/>
      <c r="M48" s="8"/>
      <c r="N48" s="8"/>
      <c r="O48" s="8"/>
      <c r="P48" s="8"/>
      <c r="Q48" s="8"/>
      <c r="R48" s="8"/>
      <c r="S48" s="8"/>
      <c r="T48" s="8"/>
      <c r="U48" s="8"/>
      <c r="V48" s="8"/>
      <c r="W48" s="8"/>
      <c r="X48" s="8"/>
      <c r="Y48" s="8"/>
      <c r="Z48" s="8"/>
    </row>
    <row r="49" spans="1:26" ht="12.75" customHeight="1" x14ac:dyDescent="0.3">
      <c r="A49" s="8"/>
      <c r="B49" s="31"/>
      <c r="C49" s="32"/>
      <c r="D49" s="32"/>
      <c r="E49" s="32"/>
      <c r="F49" s="32"/>
      <c r="G49" s="8"/>
      <c r="H49" s="8"/>
      <c r="I49" s="8"/>
      <c r="J49" s="8"/>
      <c r="K49" s="8"/>
      <c r="L49" s="8"/>
      <c r="M49" s="8"/>
      <c r="N49" s="8"/>
      <c r="O49" s="8"/>
      <c r="P49" s="8"/>
      <c r="Q49" s="8"/>
      <c r="R49" s="8"/>
      <c r="S49" s="8"/>
      <c r="T49" s="8"/>
      <c r="U49" s="8"/>
      <c r="V49" s="8"/>
      <c r="W49" s="8"/>
      <c r="X49" s="8"/>
      <c r="Y49" s="8"/>
      <c r="Z49" s="8"/>
    </row>
    <row r="50" spans="1:26" ht="12.75" customHeight="1" x14ac:dyDescent="0.3">
      <c r="A50" s="8"/>
      <c r="B50" s="31"/>
      <c r="C50" s="32"/>
      <c r="D50" s="32"/>
      <c r="E50" s="32"/>
      <c r="F50" s="32"/>
      <c r="G50" s="8"/>
      <c r="H50" s="8"/>
      <c r="I50" s="8"/>
      <c r="J50" s="8"/>
      <c r="K50" s="8"/>
      <c r="L50" s="8"/>
      <c r="M50" s="8"/>
      <c r="N50" s="8"/>
      <c r="O50" s="8"/>
      <c r="P50" s="8"/>
      <c r="Q50" s="8"/>
      <c r="R50" s="8"/>
      <c r="S50" s="8"/>
      <c r="T50" s="8"/>
      <c r="U50" s="8"/>
      <c r="V50" s="8"/>
      <c r="W50" s="8"/>
      <c r="X50" s="8"/>
      <c r="Y50" s="8"/>
      <c r="Z50" s="8"/>
    </row>
    <row r="51" spans="1:26" ht="12.75" customHeight="1" x14ac:dyDescent="0.3">
      <c r="A51" s="8"/>
      <c r="B51" s="31"/>
      <c r="C51" s="32"/>
      <c r="D51" s="32"/>
      <c r="E51" s="32"/>
      <c r="F51" s="32"/>
      <c r="G51" s="8"/>
      <c r="H51" s="8"/>
      <c r="I51" s="8"/>
      <c r="J51" s="8"/>
      <c r="K51" s="8"/>
      <c r="L51" s="8"/>
      <c r="M51" s="8"/>
      <c r="N51" s="8"/>
      <c r="O51" s="8"/>
      <c r="P51" s="8"/>
      <c r="Q51" s="8"/>
      <c r="R51" s="8"/>
      <c r="S51" s="8"/>
      <c r="T51" s="8"/>
      <c r="U51" s="8"/>
      <c r="V51" s="8"/>
      <c r="W51" s="8"/>
      <c r="X51" s="8"/>
      <c r="Y51" s="8"/>
      <c r="Z51" s="8"/>
    </row>
    <row r="52" spans="1:26" ht="12.75" customHeight="1" x14ac:dyDescent="0.3">
      <c r="A52" s="8"/>
      <c r="B52" s="31"/>
      <c r="C52" s="32"/>
      <c r="D52" s="32"/>
      <c r="E52" s="32"/>
      <c r="F52" s="32"/>
      <c r="G52" s="8"/>
      <c r="H52" s="8"/>
      <c r="I52" s="8"/>
      <c r="J52" s="8"/>
      <c r="K52" s="8"/>
      <c r="L52" s="8"/>
      <c r="M52" s="8"/>
      <c r="N52" s="8"/>
      <c r="O52" s="8"/>
      <c r="P52" s="8"/>
      <c r="Q52" s="8"/>
      <c r="R52" s="8"/>
      <c r="S52" s="8"/>
      <c r="T52" s="8"/>
      <c r="U52" s="8"/>
      <c r="V52" s="8"/>
      <c r="W52" s="8"/>
      <c r="X52" s="8"/>
      <c r="Y52" s="8"/>
      <c r="Z52" s="8"/>
    </row>
    <row r="53" spans="1:26" ht="12.75" customHeight="1" x14ac:dyDescent="0.3">
      <c r="A53" s="8"/>
      <c r="B53" s="31"/>
      <c r="C53" s="32"/>
      <c r="D53" s="32"/>
      <c r="E53" s="32"/>
      <c r="F53" s="32"/>
      <c r="G53" s="8"/>
      <c r="H53" s="8"/>
      <c r="I53" s="8"/>
      <c r="J53" s="8"/>
      <c r="K53" s="8"/>
      <c r="L53" s="8"/>
      <c r="M53" s="8"/>
      <c r="N53" s="8"/>
      <c r="O53" s="8"/>
      <c r="P53" s="8"/>
      <c r="Q53" s="8"/>
      <c r="R53" s="8"/>
      <c r="S53" s="8"/>
      <c r="T53" s="8"/>
      <c r="U53" s="8"/>
      <c r="V53" s="8"/>
      <c r="W53" s="8"/>
      <c r="X53" s="8"/>
      <c r="Y53" s="8"/>
      <c r="Z53" s="8"/>
    </row>
    <row r="54" spans="1:26" ht="12.75" customHeight="1" x14ac:dyDescent="0.3">
      <c r="A54" s="8"/>
      <c r="B54" s="31"/>
      <c r="C54" s="32"/>
      <c r="D54" s="32"/>
      <c r="E54" s="32"/>
      <c r="F54" s="32"/>
      <c r="G54" s="8"/>
      <c r="H54" s="8"/>
      <c r="I54" s="8"/>
      <c r="J54" s="8"/>
      <c r="K54" s="8"/>
      <c r="L54" s="8"/>
      <c r="M54" s="8"/>
      <c r="N54" s="8"/>
      <c r="O54" s="8"/>
      <c r="P54" s="8"/>
      <c r="Q54" s="8"/>
      <c r="R54" s="8"/>
      <c r="S54" s="8"/>
      <c r="T54" s="8"/>
      <c r="U54" s="8"/>
      <c r="V54" s="8"/>
      <c r="W54" s="8"/>
      <c r="X54" s="8"/>
      <c r="Y54" s="8"/>
      <c r="Z54" s="8"/>
    </row>
    <row r="55" spans="1:26" ht="12.75" customHeight="1" x14ac:dyDescent="0.3">
      <c r="A55" s="8"/>
      <c r="B55" s="31"/>
      <c r="C55" s="32"/>
      <c r="D55" s="32"/>
      <c r="E55" s="32"/>
      <c r="F55" s="32"/>
      <c r="G55" s="8"/>
      <c r="H55" s="8"/>
      <c r="I55" s="8"/>
      <c r="J55" s="8"/>
      <c r="K55" s="8"/>
      <c r="L55" s="8"/>
      <c r="M55" s="8"/>
      <c r="N55" s="8"/>
      <c r="O55" s="8"/>
      <c r="P55" s="8"/>
      <c r="Q55" s="8"/>
      <c r="R55" s="8"/>
      <c r="S55" s="8"/>
      <c r="T55" s="8"/>
      <c r="U55" s="8"/>
      <c r="V55" s="8"/>
      <c r="W55" s="8"/>
      <c r="X55" s="8"/>
      <c r="Y55" s="8"/>
      <c r="Z55" s="8"/>
    </row>
    <row r="56" spans="1:26" ht="12.75" customHeight="1" x14ac:dyDescent="0.3">
      <c r="A56" s="8"/>
      <c r="B56" s="31"/>
      <c r="C56" s="32"/>
      <c r="D56" s="32"/>
      <c r="E56" s="32"/>
      <c r="F56" s="32"/>
      <c r="G56" s="8"/>
      <c r="H56" s="8"/>
      <c r="I56" s="8"/>
      <c r="J56" s="8"/>
      <c r="K56" s="8"/>
      <c r="L56" s="8"/>
      <c r="M56" s="8"/>
      <c r="N56" s="8"/>
      <c r="O56" s="8"/>
      <c r="P56" s="8"/>
      <c r="Q56" s="8"/>
      <c r="R56" s="8"/>
      <c r="S56" s="8"/>
      <c r="T56" s="8"/>
      <c r="U56" s="8"/>
      <c r="V56" s="8"/>
      <c r="W56" s="8"/>
      <c r="X56" s="8"/>
      <c r="Y56" s="8"/>
      <c r="Z56" s="8"/>
    </row>
    <row r="57" spans="1:26" ht="12.75" customHeight="1" x14ac:dyDescent="0.3">
      <c r="A57" s="8"/>
      <c r="B57" s="31"/>
      <c r="C57" s="32"/>
      <c r="D57" s="32"/>
      <c r="E57" s="32"/>
      <c r="F57" s="32"/>
      <c r="G57" s="8"/>
      <c r="H57" s="8"/>
      <c r="I57" s="8"/>
      <c r="J57" s="8"/>
      <c r="K57" s="8"/>
      <c r="L57" s="8"/>
      <c r="M57" s="8"/>
      <c r="N57" s="8"/>
      <c r="O57" s="8"/>
      <c r="P57" s="8"/>
      <c r="Q57" s="8"/>
      <c r="R57" s="8"/>
      <c r="S57" s="8"/>
      <c r="T57" s="8"/>
      <c r="U57" s="8"/>
      <c r="V57" s="8"/>
      <c r="W57" s="8"/>
      <c r="X57" s="8"/>
      <c r="Y57" s="8"/>
      <c r="Z57" s="8"/>
    </row>
    <row r="58" spans="1:26" ht="12.75" customHeight="1" x14ac:dyDescent="0.3">
      <c r="A58" s="8"/>
      <c r="B58" s="31"/>
      <c r="C58" s="32"/>
      <c r="D58" s="32"/>
      <c r="E58" s="32"/>
      <c r="F58" s="32"/>
      <c r="G58" s="8"/>
      <c r="H58" s="8"/>
      <c r="I58" s="8"/>
      <c r="J58" s="8"/>
      <c r="K58" s="8"/>
      <c r="L58" s="8"/>
      <c r="M58" s="8"/>
      <c r="N58" s="8"/>
      <c r="O58" s="8"/>
      <c r="P58" s="8"/>
      <c r="Q58" s="8"/>
      <c r="R58" s="8"/>
      <c r="S58" s="8"/>
      <c r="T58" s="8"/>
      <c r="U58" s="8"/>
      <c r="V58" s="8"/>
      <c r="W58" s="8"/>
      <c r="X58" s="8"/>
      <c r="Y58" s="8"/>
      <c r="Z58" s="8"/>
    </row>
    <row r="59" spans="1:26" ht="12.75" customHeight="1" x14ac:dyDescent="0.3">
      <c r="A59" s="8"/>
      <c r="B59" s="31"/>
      <c r="C59" s="32"/>
      <c r="D59" s="32"/>
      <c r="E59" s="32"/>
      <c r="F59" s="32"/>
      <c r="G59" s="8"/>
      <c r="H59" s="8"/>
      <c r="I59" s="8"/>
      <c r="J59" s="8"/>
      <c r="K59" s="8"/>
      <c r="L59" s="8"/>
      <c r="M59" s="8"/>
      <c r="N59" s="8"/>
      <c r="O59" s="8"/>
      <c r="P59" s="8"/>
      <c r="Q59" s="8"/>
      <c r="R59" s="8"/>
      <c r="S59" s="8"/>
      <c r="T59" s="8"/>
      <c r="U59" s="8"/>
      <c r="V59" s="8"/>
      <c r="W59" s="8"/>
      <c r="X59" s="8"/>
      <c r="Y59" s="8"/>
      <c r="Z59" s="8"/>
    </row>
    <row r="60" spans="1:26" ht="12.75" customHeight="1" x14ac:dyDescent="0.3">
      <c r="A60" s="8"/>
      <c r="B60" s="31"/>
      <c r="C60" s="32"/>
      <c r="D60" s="32"/>
      <c r="E60" s="32"/>
      <c r="F60" s="32"/>
      <c r="G60" s="8"/>
      <c r="H60" s="8"/>
      <c r="I60" s="8"/>
      <c r="J60" s="8"/>
      <c r="K60" s="8"/>
      <c r="L60" s="8"/>
      <c r="M60" s="8"/>
      <c r="N60" s="8"/>
      <c r="O60" s="8"/>
      <c r="P60" s="8"/>
      <c r="Q60" s="8"/>
      <c r="R60" s="8"/>
      <c r="S60" s="8"/>
      <c r="T60" s="8"/>
      <c r="U60" s="8"/>
      <c r="V60" s="8"/>
      <c r="W60" s="8"/>
      <c r="X60" s="8"/>
      <c r="Y60" s="8"/>
      <c r="Z60" s="8"/>
    </row>
    <row r="61" spans="1:26" ht="12.75" customHeight="1" x14ac:dyDescent="0.3">
      <c r="A61" s="8"/>
      <c r="B61" s="31"/>
      <c r="C61" s="32"/>
      <c r="D61" s="32"/>
      <c r="E61" s="32"/>
      <c r="F61" s="32"/>
      <c r="G61" s="8"/>
      <c r="H61" s="8"/>
      <c r="I61" s="8"/>
      <c r="J61" s="8"/>
      <c r="K61" s="8"/>
      <c r="L61" s="8"/>
      <c r="M61" s="8"/>
      <c r="N61" s="8"/>
      <c r="O61" s="8"/>
      <c r="P61" s="8"/>
      <c r="Q61" s="8"/>
      <c r="R61" s="8"/>
      <c r="S61" s="8"/>
      <c r="T61" s="8"/>
      <c r="U61" s="8"/>
      <c r="V61" s="8"/>
      <c r="W61" s="8"/>
      <c r="X61" s="8"/>
      <c r="Y61" s="8"/>
      <c r="Z61" s="8"/>
    </row>
    <row r="62" spans="1:26" ht="12.75" customHeight="1" x14ac:dyDescent="0.3">
      <c r="A62" s="8"/>
      <c r="B62" s="31"/>
      <c r="C62" s="32"/>
      <c r="D62" s="32"/>
      <c r="E62" s="32"/>
      <c r="F62" s="32"/>
      <c r="G62" s="8"/>
      <c r="H62" s="8"/>
      <c r="I62" s="8"/>
      <c r="J62" s="8"/>
      <c r="K62" s="8"/>
      <c r="L62" s="8"/>
      <c r="M62" s="8"/>
      <c r="N62" s="8"/>
      <c r="O62" s="8"/>
      <c r="P62" s="8"/>
      <c r="Q62" s="8"/>
      <c r="R62" s="8"/>
      <c r="S62" s="8"/>
      <c r="T62" s="8"/>
      <c r="U62" s="8"/>
      <c r="V62" s="8"/>
      <c r="W62" s="8"/>
      <c r="X62" s="8"/>
      <c r="Y62" s="8"/>
      <c r="Z62" s="8"/>
    </row>
    <row r="63" spans="1:26" ht="12.75" customHeight="1" x14ac:dyDescent="0.3">
      <c r="A63" s="8"/>
      <c r="B63" s="31"/>
      <c r="C63" s="32"/>
      <c r="D63" s="32"/>
      <c r="E63" s="32"/>
      <c r="F63" s="32"/>
      <c r="G63" s="8"/>
      <c r="H63" s="8"/>
      <c r="I63" s="8"/>
      <c r="J63" s="8"/>
      <c r="K63" s="8"/>
      <c r="L63" s="8"/>
      <c r="M63" s="8"/>
      <c r="N63" s="8"/>
      <c r="O63" s="8"/>
      <c r="P63" s="8"/>
      <c r="Q63" s="8"/>
      <c r="R63" s="8"/>
      <c r="S63" s="8"/>
      <c r="T63" s="8"/>
      <c r="U63" s="8"/>
      <c r="V63" s="8"/>
      <c r="W63" s="8"/>
      <c r="X63" s="8"/>
      <c r="Y63" s="8"/>
      <c r="Z63" s="8"/>
    </row>
    <row r="64" spans="1:26" ht="12.75" customHeight="1" x14ac:dyDescent="0.3">
      <c r="A64" s="8"/>
      <c r="B64" s="31"/>
      <c r="C64" s="32"/>
      <c r="D64" s="32"/>
      <c r="E64" s="32"/>
      <c r="F64" s="32"/>
      <c r="G64" s="8"/>
      <c r="H64" s="8"/>
      <c r="I64" s="8"/>
      <c r="J64" s="8"/>
      <c r="K64" s="8"/>
      <c r="L64" s="8"/>
      <c r="M64" s="8"/>
      <c r="N64" s="8"/>
      <c r="O64" s="8"/>
      <c r="P64" s="8"/>
      <c r="Q64" s="8"/>
      <c r="R64" s="8"/>
      <c r="S64" s="8"/>
      <c r="T64" s="8"/>
      <c r="U64" s="8"/>
      <c r="V64" s="8"/>
      <c r="W64" s="8"/>
      <c r="X64" s="8"/>
      <c r="Y64" s="8"/>
      <c r="Z64" s="8"/>
    </row>
    <row r="65" spans="1:26" ht="12.75" customHeight="1" x14ac:dyDescent="0.3">
      <c r="A65" s="8"/>
      <c r="B65" s="31"/>
      <c r="C65" s="32"/>
      <c r="D65" s="32"/>
      <c r="E65" s="32"/>
      <c r="F65" s="32"/>
      <c r="G65" s="8"/>
      <c r="H65" s="8"/>
      <c r="I65" s="8"/>
      <c r="J65" s="8"/>
      <c r="K65" s="8"/>
      <c r="L65" s="8"/>
      <c r="M65" s="8"/>
      <c r="N65" s="8"/>
      <c r="O65" s="8"/>
      <c r="P65" s="8"/>
      <c r="Q65" s="8"/>
      <c r="R65" s="8"/>
      <c r="S65" s="8"/>
      <c r="T65" s="8"/>
      <c r="U65" s="8"/>
      <c r="V65" s="8"/>
      <c r="W65" s="8"/>
      <c r="X65" s="8"/>
      <c r="Y65" s="8"/>
      <c r="Z65" s="8"/>
    </row>
    <row r="66" spans="1:26" ht="12.75" customHeight="1" x14ac:dyDescent="0.3">
      <c r="A66" s="8"/>
      <c r="B66" s="31"/>
      <c r="C66" s="32"/>
      <c r="D66" s="32"/>
      <c r="E66" s="32"/>
      <c r="F66" s="32"/>
      <c r="G66" s="8"/>
      <c r="H66" s="8"/>
      <c r="I66" s="8"/>
      <c r="J66" s="8"/>
      <c r="K66" s="8"/>
      <c r="L66" s="8"/>
      <c r="M66" s="8"/>
      <c r="N66" s="8"/>
      <c r="O66" s="8"/>
      <c r="P66" s="8"/>
      <c r="Q66" s="8"/>
      <c r="R66" s="8"/>
      <c r="S66" s="8"/>
      <c r="T66" s="8"/>
      <c r="U66" s="8"/>
      <c r="V66" s="8"/>
      <c r="W66" s="8"/>
      <c r="X66" s="8"/>
      <c r="Y66" s="8"/>
      <c r="Z66" s="8"/>
    </row>
    <row r="67" spans="1:26" ht="12.75" customHeight="1" x14ac:dyDescent="0.3">
      <c r="A67" s="8"/>
      <c r="B67" s="31"/>
      <c r="C67" s="32"/>
      <c r="D67" s="32"/>
      <c r="E67" s="32"/>
      <c r="F67" s="32"/>
      <c r="G67" s="8"/>
      <c r="H67" s="8"/>
      <c r="I67" s="8"/>
      <c r="J67" s="8"/>
      <c r="K67" s="8"/>
      <c r="L67" s="8"/>
      <c r="M67" s="8"/>
      <c r="N67" s="8"/>
      <c r="O67" s="8"/>
      <c r="P67" s="8"/>
      <c r="Q67" s="8"/>
      <c r="R67" s="8"/>
      <c r="S67" s="8"/>
      <c r="T67" s="8"/>
      <c r="U67" s="8"/>
      <c r="V67" s="8"/>
      <c r="W67" s="8"/>
      <c r="X67" s="8"/>
      <c r="Y67" s="8"/>
      <c r="Z67" s="8"/>
    </row>
    <row r="68" spans="1:26" ht="12.75" customHeight="1" x14ac:dyDescent="0.3">
      <c r="A68" s="8"/>
      <c r="B68" s="31"/>
      <c r="C68" s="32"/>
      <c r="D68" s="32"/>
      <c r="E68" s="32"/>
      <c r="F68" s="32"/>
      <c r="G68" s="8"/>
      <c r="H68" s="8"/>
      <c r="I68" s="8"/>
      <c r="J68" s="8"/>
      <c r="K68" s="8"/>
      <c r="L68" s="8"/>
      <c r="M68" s="8"/>
      <c r="N68" s="8"/>
      <c r="O68" s="8"/>
      <c r="P68" s="8"/>
      <c r="Q68" s="8"/>
      <c r="R68" s="8"/>
      <c r="S68" s="8"/>
      <c r="T68" s="8"/>
      <c r="U68" s="8"/>
      <c r="V68" s="8"/>
      <c r="W68" s="8"/>
      <c r="X68" s="8"/>
      <c r="Y68" s="8"/>
      <c r="Z68" s="8"/>
    </row>
    <row r="69" spans="1:26" ht="12.75" customHeight="1" x14ac:dyDescent="0.3">
      <c r="A69" s="8"/>
      <c r="B69" s="31"/>
      <c r="C69" s="32"/>
      <c r="D69" s="32"/>
      <c r="E69" s="32"/>
      <c r="F69" s="32"/>
      <c r="G69" s="8"/>
      <c r="H69" s="8"/>
      <c r="I69" s="8"/>
      <c r="J69" s="8"/>
      <c r="K69" s="8"/>
      <c r="L69" s="8"/>
      <c r="M69" s="8"/>
      <c r="N69" s="8"/>
      <c r="O69" s="8"/>
      <c r="P69" s="8"/>
      <c r="Q69" s="8"/>
      <c r="R69" s="8"/>
      <c r="S69" s="8"/>
      <c r="T69" s="8"/>
      <c r="U69" s="8"/>
      <c r="V69" s="8"/>
      <c r="W69" s="8"/>
      <c r="X69" s="8"/>
      <c r="Y69" s="8"/>
      <c r="Z69" s="8"/>
    </row>
    <row r="70" spans="1:26" ht="12.75" customHeight="1" x14ac:dyDescent="0.3">
      <c r="A70" s="8"/>
      <c r="B70" s="31"/>
      <c r="C70" s="32"/>
      <c r="D70" s="32"/>
      <c r="E70" s="32"/>
      <c r="F70" s="32"/>
      <c r="G70" s="8"/>
      <c r="H70" s="8"/>
      <c r="I70" s="8"/>
      <c r="J70" s="8"/>
      <c r="K70" s="8"/>
      <c r="L70" s="8"/>
      <c r="M70" s="8"/>
      <c r="N70" s="8"/>
      <c r="O70" s="8"/>
      <c r="P70" s="8"/>
      <c r="Q70" s="8"/>
      <c r="R70" s="8"/>
      <c r="S70" s="8"/>
      <c r="T70" s="8"/>
      <c r="U70" s="8"/>
      <c r="V70" s="8"/>
      <c r="W70" s="8"/>
      <c r="X70" s="8"/>
      <c r="Y70" s="8"/>
      <c r="Z70" s="8"/>
    </row>
    <row r="71" spans="1:26" ht="12.75" customHeight="1" x14ac:dyDescent="0.3">
      <c r="A71" s="8"/>
      <c r="B71" s="31"/>
      <c r="C71" s="32"/>
      <c r="D71" s="32"/>
      <c r="E71" s="32"/>
      <c r="F71" s="32"/>
      <c r="G71" s="8"/>
      <c r="H71" s="8"/>
      <c r="I71" s="8"/>
      <c r="J71" s="8"/>
      <c r="K71" s="8"/>
      <c r="L71" s="8"/>
      <c r="M71" s="8"/>
      <c r="N71" s="8"/>
      <c r="O71" s="8"/>
      <c r="P71" s="8"/>
      <c r="Q71" s="8"/>
      <c r="R71" s="8"/>
      <c r="S71" s="8"/>
      <c r="T71" s="8"/>
      <c r="U71" s="8"/>
      <c r="V71" s="8"/>
      <c r="W71" s="8"/>
      <c r="X71" s="8"/>
      <c r="Y71" s="8"/>
      <c r="Z71" s="8"/>
    </row>
    <row r="72" spans="1:26" ht="12.75" customHeight="1" x14ac:dyDescent="0.3">
      <c r="A72" s="8"/>
      <c r="B72" s="31"/>
      <c r="C72" s="32"/>
      <c r="D72" s="32"/>
      <c r="E72" s="32"/>
      <c r="F72" s="32"/>
      <c r="G72" s="8"/>
      <c r="H72" s="8"/>
      <c r="I72" s="8"/>
      <c r="J72" s="8"/>
      <c r="K72" s="8"/>
      <c r="L72" s="8"/>
      <c r="M72" s="8"/>
      <c r="N72" s="8"/>
      <c r="O72" s="8"/>
      <c r="P72" s="8"/>
      <c r="Q72" s="8"/>
      <c r="R72" s="8"/>
      <c r="S72" s="8"/>
      <c r="T72" s="8"/>
      <c r="U72" s="8"/>
      <c r="V72" s="8"/>
      <c r="W72" s="8"/>
      <c r="X72" s="8"/>
      <c r="Y72" s="8"/>
      <c r="Z72" s="8"/>
    </row>
    <row r="73" spans="1:26" ht="12.75" customHeight="1" x14ac:dyDescent="0.3">
      <c r="A73" s="8"/>
      <c r="B73" s="31"/>
      <c r="C73" s="32"/>
      <c r="D73" s="32"/>
      <c r="E73" s="32"/>
      <c r="F73" s="32"/>
      <c r="G73" s="8"/>
      <c r="H73" s="8"/>
      <c r="I73" s="8"/>
      <c r="J73" s="8"/>
      <c r="K73" s="8"/>
      <c r="L73" s="8"/>
      <c r="M73" s="8"/>
      <c r="N73" s="8"/>
      <c r="O73" s="8"/>
      <c r="P73" s="8"/>
      <c r="Q73" s="8"/>
      <c r="R73" s="8"/>
      <c r="S73" s="8"/>
      <c r="T73" s="8"/>
      <c r="U73" s="8"/>
      <c r="V73" s="8"/>
      <c r="W73" s="8"/>
      <c r="X73" s="8"/>
      <c r="Y73" s="8"/>
      <c r="Z73" s="8"/>
    </row>
    <row r="74" spans="1:26" ht="12.75" customHeight="1" x14ac:dyDescent="0.3">
      <c r="A74" s="8"/>
      <c r="B74" s="31"/>
      <c r="C74" s="32"/>
      <c r="D74" s="32"/>
      <c r="E74" s="32"/>
      <c r="F74" s="32"/>
      <c r="G74" s="8"/>
      <c r="H74" s="8"/>
      <c r="I74" s="8"/>
      <c r="J74" s="8"/>
      <c r="K74" s="8"/>
      <c r="L74" s="8"/>
      <c r="M74" s="8"/>
      <c r="N74" s="8"/>
      <c r="O74" s="8"/>
      <c r="P74" s="8"/>
      <c r="Q74" s="8"/>
      <c r="R74" s="8"/>
      <c r="S74" s="8"/>
      <c r="T74" s="8"/>
      <c r="U74" s="8"/>
      <c r="V74" s="8"/>
      <c r="W74" s="8"/>
      <c r="X74" s="8"/>
      <c r="Y74" s="8"/>
      <c r="Z74" s="8"/>
    </row>
    <row r="75" spans="1:26" ht="12.75" customHeight="1" x14ac:dyDescent="0.3">
      <c r="A75" s="8"/>
      <c r="B75" s="31"/>
      <c r="C75" s="32"/>
      <c r="D75" s="32"/>
      <c r="E75" s="32"/>
      <c r="F75" s="32"/>
      <c r="G75" s="8"/>
      <c r="H75" s="8"/>
      <c r="I75" s="8"/>
      <c r="J75" s="8"/>
      <c r="K75" s="8"/>
      <c r="L75" s="8"/>
      <c r="M75" s="8"/>
      <c r="N75" s="8"/>
      <c r="O75" s="8"/>
      <c r="P75" s="8"/>
      <c r="Q75" s="8"/>
      <c r="R75" s="8"/>
      <c r="S75" s="8"/>
      <c r="T75" s="8"/>
      <c r="U75" s="8"/>
      <c r="V75" s="8"/>
      <c r="W75" s="8"/>
      <c r="X75" s="8"/>
      <c r="Y75" s="8"/>
      <c r="Z75" s="8"/>
    </row>
    <row r="76" spans="1:26" ht="12.75" customHeight="1" x14ac:dyDescent="0.3">
      <c r="A76" s="8"/>
      <c r="B76" s="31"/>
      <c r="C76" s="32"/>
      <c r="D76" s="32"/>
      <c r="E76" s="32"/>
      <c r="F76" s="32"/>
      <c r="G76" s="8"/>
      <c r="H76" s="8"/>
      <c r="I76" s="8"/>
      <c r="J76" s="8"/>
      <c r="K76" s="8"/>
      <c r="L76" s="8"/>
      <c r="M76" s="8"/>
      <c r="N76" s="8"/>
      <c r="O76" s="8"/>
      <c r="P76" s="8"/>
      <c r="Q76" s="8"/>
      <c r="R76" s="8"/>
      <c r="S76" s="8"/>
      <c r="T76" s="8"/>
      <c r="U76" s="8"/>
      <c r="V76" s="8"/>
      <c r="W76" s="8"/>
      <c r="X76" s="8"/>
      <c r="Y76" s="8"/>
      <c r="Z76" s="8"/>
    </row>
    <row r="77" spans="1:26" ht="12.75" customHeight="1" x14ac:dyDescent="0.3">
      <c r="A77" s="8"/>
      <c r="B77" s="31"/>
      <c r="C77" s="32"/>
      <c r="D77" s="32"/>
      <c r="E77" s="32"/>
      <c r="F77" s="32"/>
      <c r="G77" s="8"/>
      <c r="H77" s="8"/>
      <c r="I77" s="8"/>
      <c r="J77" s="8"/>
      <c r="K77" s="8"/>
      <c r="L77" s="8"/>
      <c r="M77" s="8"/>
      <c r="N77" s="8"/>
      <c r="O77" s="8"/>
      <c r="P77" s="8"/>
      <c r="Q77" s="8"/>
      <c r="R77" s="8"/>
      <c r="S77" s="8"/>
      <c r="T77" s="8"/>
      <c r="U77" s="8"/>
      <c r="V77" s="8"/>
      <c r="W77" s="8"/>
      <c r="X77" s="8"/>
      <c r="Y77" s="8"/>
      <c r="Z77" s="8"/>
    </row>
    <row r="78" spans="1:26" ht="12.75" customHeight="1" x14ac:dyDescent="0.3">
      <c r="A78" s="8"/>
      <c r="B78" s="31"/>
      <c r="C78" s="32"/>
      <c r="D78" s="32"/>
      <c r="E78" s="32"/>
      <c r="F78" s="32"/>
      <c r="G78" s="8"/>
      <c r="H78" s="8"/>
      <c r="I78" s="8"/>
      <c r="J78" s="8"/>
      <c r="K78" s="8"/>
      <c r="L78" s="8"/>
      <c r="M78" s="8"/>
      <c r="N78" s="8"/>
      <c r="O78" s="8"/>
      <c r="P78" s="8"/>
      <c r="Q78" s="8"/>
      <c r="R78" s="8"/>
      <c r="S78" s="8"/>
      <c r="T78" s="8"/>
      <c r="U78" s="8"/>
      <c r="V78" s="8"/>
      <c r="W78" s="8"/>
      <c r="X78" s="8"/>
      <c r="Y78" s="8"/>
      <c r="Z78" s="8"/>
    </row>
    <row r="79" spans="1:26" ht="12.75" customHeight="1" x14ac:dyDescent="0.3">
      <c r="A79" s="8"/>
      <c r="B79" s="31"/>
      <c r="C79" s="32"/>
      <c r="D79" s="32"/>
      <c r="E79" s="32"/>
      <c r="F79" s="32"/>
      <c r="G79" s="8"/>
      <c r="H79" s="8"/>
      <c r="I79" s="8"/>
      <c r="J79" s="8"/>
      <c r="K79" s="8"/>
      <c r="L79" s="8"/>
      <c r="M79" s="8"/>
      <c r="N79" s="8"/>
      <c r="O79" s="8"/>
      <c r="P79" s="8"/>
      <c r="Q79" s="8"/>
      <c r="R79" s="8"/>
      <c r="S79" s="8"/>
      <c r="T79" s="8"/>
      <c r="U79" s="8"/>
      <c r="V79" s="8"/>
      <c r="W79" s="8"/>
      <c r="X79" s="8"/>
      <c r="Y79" s="8"/>
      <c r="Z79" s="8"/>
    </row>
    <row r="80" spans="1:26" ht="12.75" customHeight="1" x14ac:dyDescent="0.3">
      <c r="A80" s="8"/>
      <c r="B80" s="31"/>
      <c r="C80" s="32"/>
      <c r="D80" s="32"/>
      <c r="E80" s="32"/>
      <c r="F80" s="32"/>
      <c r="G80" s="8"/>
      <c r="H80" s="8"/>
      <c r="I80" s="8"/>
      <c r="J80" s="8"/>
      <c r="K80" s="8"/>
      <c r="L80" s="8"/>
      <c r="M80" s="8"/>
      <c r="N80" s="8"/>
      <c r="O80" s="8"/>
      <c r="P80" s="8"/>
      <c r="Q80" s="8"/>
      <c r="R80" s="8"/>
      <c r="S80" s="8"/>
      <c r="T80" s="8"/>
      <c r="U80" s="8"/>
      <c r="V80" s="8"/>
      <c r="W80" s="8"/>
      <c r="X80" s="8"/>
      <c r="Y80" s="8"/>
      <c r="Z80" s="8"/>
    </row>
    <row r="81" spans="1:26" ht="12.75" customHeight="1" x14ac:dyDescent="0.3">
      <c r="A81" s="8"/>
      <c r="B81" s="31"/>
      <c r="C81" s="32"/>
      <c r="D81" s="32"/>
      <c r="E81" s="32"/>
      <c r="F81" s="32"/>
      <c r="G81" s="8"/>
      <c r="H81" s="8"/>
      <c r="I81" s="8"/>
      <c r="J81" s="8"/>
      <c r="K81" s="8"/>
      <c r="L81" s="8"/>
      <c r="M81" s="8"/>
      <c r="N81" s="8"/>
      <c r="O81" s="8"/>
      <c r="P81" s="8"/>
      <c r="Q81" s="8"/>
      <c r="R81" s="8"/>
      <c r="S81" s="8"/>
      <c r="T81" s="8"/>
      <c r="U81" s="8"/>
      <c r="V81" s="8"/>
      <c r="W81" s="8"/>
      <c r="X81" s="8"/>
      <c r="Y81" s="8"/>
      <c r="Z81" s="8"/>
    </row>
    <row r="82" spans="1:26" ht="12.75" customHeight="1" x14ac:dyDescent="0.3">
      <c r="A82" s="8"/>
      <c r="B82" s="31"/>
      <c r="C82" s="32"/>
      <c r="D82" s="32"/>
      <c r="E82" s="32"/>
      <c r="F82" s="32"/>
      <c r="G82" s="8"/>
      <c r="H82" s="8"/>
      <c r="I82" s="8"/>
      <c r="J82" s="8"/>
      <c r="K82" s="8"/>
      <c r="L82" s="8"/>
      <c r="M82" s="8"/>
      <c r="N82" s="8"/>
      <c r="O82" s="8"/>
      <c r="P82" s="8"/>
      <c r="Q82" s="8"/>
      <c r="R82" s="8"/>
      <c r="S82" s="8"/>
      <c r="T82" s="8"/>
      <c r="U82" s="8"/>
      <c r="V82" s="8"/>
      <c r="W82" s="8"/>
      <c r="X82" s="8"/>
      <c r="Y82" s="8"/>
      <c r="Z82" s="8"/>
    </row>
    <row r="83" spans="1:26" ht="12.75" customHeight="1" x14ac:dyDescent="0.3">
      <c r="A83" s="8"/>
      <c r="B83" s="31"/>
      <c r="C83" s="32"/>
      <c r="D83" s="32"/>
      <c r="E83" s="32"/>
      <c r="F83" s="32"/>
      <c r="G83" s="8"/>
      <c r="H83" s="8"/>
      <c r="I83" s="8"/>
      <c r="J83" s="8"/>
      <c r="K83" s="8"/>
      <c r="L83" s="8"/>
      <c r="M83" s="8"/>
      <c r="N83" s="8"/>
      <c r="O83" s="8"/>
      <c r="P83" s="8"/>
      <c r="Q83" s="8"/>
      <c r="R83" s="8"/>
      <c r="S83" s="8"/>
      <c r="T83" s="8"/>
      <c r="U83" s="8"/>
      <c r="V83" s="8"/>
      <c r="W83" s="8"/>
      <c r="X83" s="8"/>
      <c r="Y83" s="8"/>
      <c r="Z83" s="8"/>
    </row>
    <row r="84" spans="1:26" ht="12.75" customHeight="1" x14ac:dyDescent="0.3">
      <c r="A84" s="8"/>
      <c r="B84" s="31"/>
      <c r="C84" s="32"/>
      <c r="D84" s="32"/>
      <c r="E84" s="32"/>
      <c r="F84" s="32"/>
      <c r="G84" s="8"/>
      <c r="H84" s="8"/>
      <c r="I84" s="8"/>
      <c r="J84" s="8"/>
      <c r="K84" s="8"/>
      <c r="L84" s="8"/>
      <c r="M84" s="8"/>
      <c r="N84" s="8"/>
      <c r="O84" s="8"/>
      <c r="P84" s="8"/>
      <c r="Q84" s="8"/>
      <c r="R84" s="8"/>
      <c r="S84" s="8"/>
      <c r="T84" s="8"/>
      <c r="U84" s="8"/>
      <c r="V84" s="8"/>
      <c r="W84" s="8"/>
      <c r="X84" s="8"/>
      <c r="Y84" s="8"/>
      <c r="Z84" s="8"/>
    </row>
    <row r="85" spans="1:26" ht="12.75" customHeight="1" x14ac:dyDescent="0.3">
      <c r="A85" s="8"/>
      <c r="B85" s="31"/>
      <c r="C85" s="32"/>
      <c r="D85" s="32"/>
      <c r="E85" s="32"/>
      <c r="F85" s="32"/>
      <c r="G85" s="8"/>
      <c r="H85" s="8"/>
      <c r="I85" s="8"/>
      <c r="J85" s="8"/>
      <c r="K85" s="8"/>
      <c r="L85" s="8"/>
      <c r="M85" s="8"/>
      <c r="N85" s="8"/>
      <c r="O85" s="8"/>
      <c r="P85" s="8"/>
      <c r="Q85" s="8"/>
      <c r="R85" s="8"/>
      <c r="S85" s="8"/>
      <c r="T85" s="8"/>
      <c r="U85" s="8"/>
      <c r="V85" s="8"/>
      <c r="W85" s="8"/>
      <c r="X85" s="8"/>
      <c r="Y85" s="8"/>
      <c r="Z85" s="8"/>
    </row>
    <row r="86" spans="1:26" ht="12.75" customHeight="1" x14ac:dyDescent="0.3">
      <c r="A86" s="8"/>
      <c r="B86" s="31"/>
      <c r="C86" s="32"/>
      <c r="D86" s="32"/>
      <c r="E86" s="32"/>
      <c r="F86" s="32"/>
      <c r="G86" s="8"/>
      <c r="H86" s="8"/>
      <c r="I86" s="8"/>
      <c r="J86" s="8"/>
      <c r="K86" s="8"/>
      <c r="L86" s="8"/>
      <c r="M86" s="8"/>
      <c r="N86" s="8"/>
      <c r="O86" s="8"/>
      <c r="P86" s="8"/>
      <c r="Q86" s="8"/>
      <c r="R86" s="8"/>
      <c r="S86" s="8"/>
      <c r="T86" s="8"/>
      <c r="U86" s="8"/>
      <c r="V86" s="8"/>
      <c r="W86" s="8"/>
      <c r="X86" s="8"/>
      <c r="Y86" s="8"/>
      <c r="Z86" s="8"/>
    </row>
    <row r="87" spans="1:26" ht="12.75" customHeight="1" x14ac:dyDescent="0.3">
      <c r="A87" s="8"/>
      <c r="B87" s="31"/>
      <c r="C87" s="32"/>
      <c r="D87" s="32"/>
      <c r="E87" s="32"/>
      <c r="F87" s="32"/>
      <c r="G87" s="8"/>
      <c r="H87" s="8"/>
      <c r="I87" s="8"/>
      <c r="J87" s="8"/>
      <c r="K87" s="8"/>
      <c r="L87" s="8"/>
      <c r="M87" s="8"/>
      <c r="N87" s="8"/>
      <c r="O87" s="8"/>
      <c r="P87" s="8"/>
      <c r="Q87" s="8"/>
      <c r="R87" s="8"/>
      <c r="S87" s="8"/>
      <c r="T87" s="8"/>
      <c r="U87" s="8"/>
      <c r="V87" s="8"/>
      <c r="W87" s="8"/>
      <c r="X87" s="8"/>
      <c r="Y87" s="8"/>
      <c r="Z87" s="8"/>
    </row>
    <row r="88" spans="1:26" ht="12.75" customHeight="1" x14ac:dyDescent="0.3">
      <c r="A88" s="8"/>
      <c r="B88" s="31"/>
      <c r="C88" s="32"/>
      <c r="D88" s="32"/>
      <c r="E88" s="32"/>
      <c r="F88" s="32"/>
      <c r="G88" s="8"/>
      <c r="H88" s="8"/>
      <c r="I88" s="8"/>
      <c r="J88" s="8"/>
      <c r="K88" s="8"/>
      <c r="L88" s="8"/>
      <c r="M88" s="8"/>
      <c r="N88" s="8"/>
      <c r="O88" s="8"/>
      <c r="P88" s="8"/>
      <c r="Q88" s="8"/>
      <c r="R88" s="8"/>
      <c r="S88" s="8"/>
      <c r="T88" s="8"/>
      <c r="U88" s="8"/>
      <c r="V88" s="8"/>
      <c r="W88" s="8"/>
      <c r="X88" s="8"/>
      <c r="Y88" s="8"/>
      <c r="Z88" s="8"/>
    </row>
    <row r="89" spans="1:26" ht="12.75" customHeight="1" x14ac:dyDescent="0.3">
      <c r="A89" s="8"/>
      <c r="B89" s="31"/>
      <c r="C89" s="32"/>
      <c r="D89" s="32"/>
      <c r="E89" s="32"/>
      <c r="F89" s="32"/>
      <c r="G89" s="8"/>
      <c r="H89" s="8"/>
      <c r="I89" s="8"/>
      <c r="J89" s="8"/>
      <c r="K89" s="8"/>
      <c r="L89" s="8"/>
      <c r="M89" s="8"/>
      <c r="N89" s="8"/>
      <c r="O89" s="8"/>
      <c r="P89" s="8"/>
      <c r="Q89" s="8"/>
      <c r="R89" s="8"/>
      <c r="S89" s="8"/>
      <c r="T89" s="8"/>
      <c r="U89" s="8"/>
      <c r="V89" s="8"/>
      <c r="W89" s="8"/>
      <c r="X89" s="8"/>
      <c r="Y89" s="8"/>
      <c r="Z89" s="8"/>
    </row>
    <row r="90" spans="1:26" ht="12.75" customHeight="1" x14ac:dyDescent="0.3">
      <c r="A90" s="8"/>
      <c r="B90" s="31"/>
      <c r="C90" s="32"/>
      <c r="D90" s="32"/>
      <c r="E90" s="32"/>
      <c r="F90" s="32"/>
      <c r="G90" s="8"/>
      <c r="H90" s="8"/>
      <c r="I90" s="8"/>
      <c r="J90" s="8"/>
      <c r="K90" s="8"/>
      <c r="L90" s="8"/>
      <c r="M90" s="8"/>
      <c r="N90" s="8"/>
      <c r="O90" s="8"/>
      <c r="P90" s="8"/>
      <c r="Q90" s="8"/>
      <c r="R90" s="8"/>
      <c r="S90" s="8"/>
      <c r="T90" s="8"/>
      <c r="U90" s="8"/>
      <c r="V90" s="8"/>
      <c r="W90" s="8"/>
      <c r="X90" s="8"/>
      <c r="Y90" s="8"/>
      <c r="Z90" s="8"/>
    </row>
    <row r="91" spans="1:26" ht="12.75" customHeight="1" x14ac:dyDescent="0.3">
      <c r="A91" s="8"/>
      <c r="B91" s="31"/>
      <c r="C91" s="32"/>
      <c r="D91" s="32"/>
      <c r="E91" s="32"/>
      <c r="F91" s="32"/>
      <c r="G91" s="8"/>
      <c r="H91" s="8"/>
      <c r="I91" s="8"/>
      <c r="J91" s="8"/>
      <c r="K91" s="8"/>
      <c r="L91" s="8"/>
      <c r="M91" s="8"/>
      <c r="N91" s="8"/>
      <c r="O91" s="8"/>
      <c r="P91" s="8"/>
      <c r="Q91" s="8"/>
      <c r="R91" s="8"/>
      <c r="S91" s="8"/>
      <c r="T91" s="8"/>
      <c r="U91" s="8"/>
      <c r="V91" s="8"/>
      <c r="W91" s="8"/>
      <c r="X91" s="8"/>
      <c r="Y91" s="8"/>
      <c r="Z91" s="8"/>
    </row>
    <row r="92" spans="1:26" ht="12.75" customHeight="1" x14ac:dyDescent="0.3">
      <c r="A92" s="8"/>
      <c r="B92" s="31"/>
      <c r="C92" s="32"/>
      <c r="D92" s="32"/>
      <c r="E92" s="32"/>
      <c r="F92" s="32"/>
      <c r="G92" s="8"/>
      <c r="H92" s="8"/>
      <c r="I92" s="8"/>
      <c r="J92" s="8"/>
      <c r="K92" s="8"/>
      <c r="L92" s="8"/>
      <c r="M92" s="8"/>
      <c r="N92" s="8"/>
      <c r="O92" s="8"/>
      <c r="P92" s="8"/>
      <c r="Q92" s="8"/>
      <c r="R92" s="8"/>
      <c r="S92" s="8"/>
      <c r="T92" s="8"/>
      <c r="U92" s="8"/>
      <c r="V92" s="8"/>
      <c r="W92" s="8"/>
      <c r="X92" s="8"/>
      <c r="Y92" s="8"/>
      <c r="Z92" s="8"/>
    </row>
    <row r="93" spans="1:26" ht="12.75" customHeight="1" x14ac:dyDescent="0.3">
      <c r="A93" s="8"/>
      <c r="B93" s="31"/>
      <c r="C93" s="32"/>
      <c r="D93" s="32"/>
      <c r="E93" s="32"/>
      <c r="F93" s="32"/>
      <c r="G93" s="8"/>
      <c r="H93" s="8"/>
      <c r="I93" s="8"/>
      <c r="J93" s="8"/>
      <c r="K93" s="8"/>
      <c r="L93" s="8"/>
      <c r="M93" s="8"/>
      <c r="N93" s="8"/>
      <c r="O93" s="8"/>
      <c r="P93" s="8"/>
      <c r="Q93" s="8"/>
      <c r="R93" s="8"/>
      <c r="S93" s="8"/>
      <c r="T93" s="8"/>
      <c r="U93" s="8"/>
      <c r="V93" s="8"/>
      <c r="W93" s="8"/>
      <c r="X93" s="8"/>
      <c r="Y93" s="8"/>
      <c r="Z93" s="8"/>
    </row>
    <row r="94" spans="1:26" ht="12.75" customHeight="1" x14ac:dyDescent="0.3">
      <c r="A94" s="8"/>
      <c r="B94" s="31"/>
      <c r="C94" s="32"/>
      <c r="D94" s="32"/>
      <c r="E94" s="32"/>
      <c r="F94" s="32"/>
      <c r="G94" s="8"/>
      <c r="H94" s="8"/>
      <c r="I94" s="8"/>
      <c r="J94" s="8"/>
      <c r="K94" s="8"/>
      <c r="L94" s="8"/>
      <c r="M94" s="8"/>
      <c r="N94" s="8"/>
      <c r="O94" s="8"/>
      <c r="P94" s="8"/>
      <c r="Q94" s="8"/>
      <c r="R94" s="8"/>
      <c r="S94" s="8"/>
      <c r="T94" s="8"/>
      <c r="U94" s="8"/>
      <c r="V94" s="8"/>
      <c r="W94" s="8"/>
      <c r="X94" s="8"/>
      <c r="Y94" s="8"/>
      <c r="Z94" s="8"/>
    </row>
    <row r="95" spans="1:26" ht="12.75" customHeight="1" x14ac:dyDescent="0.3">
      <c r="A95" s="8"/>
      <c r="B95" s="31"/>
      <c r="C95" s="32"/>
      <c r="D95" s="32"/>
      <c r="E95" s="32"/>
      <c r="F95" s="32"/>
      <c r="G95" s="8"/>
      <c r="H95" s="8"/>
      <c r="I95" s="8"/>
      <c r="J95" s="8"/>
      <c r="K95" s="8"/>
      <c r="L95" s="8"/>
      <c r="M95" s="8"/>
      <c r="N95" s="8"/>
      <c r="O95" s="8"/>
      <c r="P95" s="8"/>
      <c r="Q95" s="8"/>
      <c r="R95" s="8"/>
      <c r="S95" s="8"/>
      <c r="T95" s="8"/>
      <c r="U95" s="8"/>
      <c r="V95" s="8"/>
      <c r="W95" s="8"/>
      <c r="X95" s="8"/>
      <c r="Y95" s="8"/>
      <c r="Z95" s="8"/>
    </row>
    <row r="96" spans="1:26" ht="12.75" customHeight="1" x14ac:dyDescent="0.3">
      <c r="A96" s="8"/>
      <c r="B96" s="31"/>
      <c r="C96" s="32"/>
      <c r="D96" s="32"/>
      <c r="E96" s="32"/>
      <c r="F96" s="32"/>
      <c r="G96" s="8"/>
      <c r="H96" s="8"/>
      <c r="I96" s="8"/>
      <c r="J96" s="8"/>
      <c r="K96" s="8"/>
      <c r="L96" s="8"/>
      <c r="M96" s="8"/>
      <c r="N96" s="8"/>
      <c r="O96" s="8"/>
      <c r="P96" s="8"/>
      <c r="Q96" s="8"/>
      <c r="R96" s="8"/>
      <c r="S96" s="8"/>
      <c r="T96" s="8"/>
      <c r="U96" s="8"/>
      <c r="V96" s="8"/>
      <c r="W96" s="8"/>
      <c r="X96" s="8"/>
      <c r="Y96" s="8"/>
      <c r="Z96" s="8"/>
    </row>
    <row r="97" spans="1:26" ht="12.75" customHeight="1" x14ac:dyDescent="0.3">
      <c r="A97" s="8"/>
      <c r="B97" s="31"/>
      <c r="C97" s="32"/>
      <c r="D97" s="32"/>
      <c r="E97" s="32"/>
      <c r="F97" s="32"/>
      <c r="G97" s="8"/>
      <c r="H97" s="8"/>
      <c r="I97" s="8"/>
      <c r="J97" s="8"/>
      <c r="K97" s="8"/>
      <c r="L97" s="8"/>
      <c r="M97" s="8"/>
      <c r="N97" s="8"/>
      <c r="O97" s="8"/>
      <c r="P97" s="8"/>
      <c r="Q97" s="8"/>
      <c r="R97" s="8"/>
      <c r="S97" s="8"/>
      <c r="T97" s="8"/>
      <c r="U97" s="8"/>
      <c r="V97" s="8"/>
      <c r="W97" s="8"/>
      <c r="X97" s="8"/>
      <c r="Y97" s="8"/>
      <c r="Z97" s="8"/>
    </row>
    <row r="98" spans="1:26" ht="12.75" customHeight="1" x14ac:dyDescent="0.3">
      <c r="A98" s="8"/>
      <c r="B98" s="31"/>
      <c r="C98" s="32"/>
      <c r="D98" s="32"/>
      <c r="E98" s="32"/>
      <c r="F98" s="32"/>
      <c r="G98" s="8"/>
      <c r="H98" s="8"/>
      <c r="I98" s="8"/>
      <c r="J98" s="8"/>
      <c r="K98" s="8"/>
      <c r="L98" s="8"/>
      <c r="M98" s="8"/>
      <c r="N98" s="8"/>
      <c r="O98" s="8"/>
      <c r="P98" s="8"/>
      <c r="Q98" s="8"/>
      <c r="R98" s="8"/>
      <c r="S98" s="8"/>
      <c r="T98" s="8"/>
      <c r="U98" s="8"/>
      <c r="V98" s="8"/>
      <c r="W98" s="8"/>
      <c r="X98" s="8"/>
      <c r="Y98" s="8"/>
      <c r="Z98" s="8"/>
    </row>
    <row r="99" spans="1:26" ht="12.75" customHeight="1" x14ac:dyDescent="0.3">
      <c r="A99" s="8"/>
      <c r="B99" s="31"/>
      <c r="C99" s="32"/>
      <c r="D99" s="32"/>
      <c r="E99" s="32"/>
      <c r="F99" s="32"/>
      <c r="G99" s="8"/>
      <c r="H99" s="8"/>
      <c r="I99" s="8"/>
      <c r="J99" s="8"/>
      <c r="K99" s="8"/>
      <c r="L99" s="8"/>
      <c r="M99" s="8"/>
      <c r="N99" s="8"/>
      <c r="O99" s="8"/>
      <c r="P99" s="8"/>
      <c r="Q99" s="8"/>
      <c r="R99" s="8"/>
      <c r="S99" s="8"/>
      <c r="T99" s="8"/>
      <c r="U99" s="8"/>
      <c r="V99" s="8"/>
      <c r="W99" s="8"/>
      <c r="X99" s="8"/>
      <c r="Y99" s="8"/>
      <c r="Z99" s="8"/>
    </row>
    <row r="100" spans="1:26" ht="12.75" customHeight="1" x14ac:dyDescent="0.3">
      <c r="A100" s="8"/>
      <c r="B100" s="31"/>
      <c r="C100" s="32"/>
      <c r="D100" s="32"/>
      <c r="E100" s="32"/>
      <c r="F100" s="32"/>
      <c r="G100" s="8"/>
      <c r="H100" s="8"/>
      <c r="I100" s="8"/>
      <c r="J100" s="8"/>
      <c r="K100" s="8"/>
      <c r="L100" s="8"/>
      <c r="M100" s="8"/>
      <c r="N100" s="8"/>
      <c r="O100" s="8"/>
      <c r="P100" s="8"/>
      <c r="Q100" s="8"/>
      <c r="R100" s="8"/>
      <c r="S100" s="8"/>
      <c r="T100" s="8"/>
      <c r="U100" s="8"/>
      <c r="V100" s="8"/>
      <c r="W100" s="8"/>
      <c r="X100" s="8"/>
      <c r="Y100" s="8"/>
      <c r="Z100" s="8"/>
    </row>
    <row r="101" spans="1:26" ht="12.75" customHeight="1" x14ac:dyDescent="0.3">
      <c r="A101" s="8"/>
      <c r="B101" s="31"/>
      <c r="C101" s="32"/>
      <c r="D101" s="32"/>
      <c r="E101" s="32"/>
      <c r="F101" s="32"/>
      <c r="G101" s="8"/>
      <c r="H101" s="8"/>
      <c r="I101" s="8"/>
      <c r="J101" s="8"/>
      <c r="K101" s="8"/>
      <c r="L101" s="8"/>
      <c r="M101" s="8"/>
      <c r="N101" s="8"/>
      <c r="O101" s="8"/>
      <c r="P101" s="8"/>
      <c r="Q101" s="8"/>
      <c r="R101" s="8"/>
      <c r="S101" s="8"/>
      <c r="T101" s="8"/>
      <c r="U101" s="8"/>
      <c r="V101" s="8"/>
      <c r="W101" s="8"/>
      <c r="X101" s="8"/>
      <c r="Y101" s="8"/>
      <c r="Z101" s="8"/>
    </row>
    <row r="102" spans="1:26" ht="12.75" customHeight="1" x14ac:dyDescent="0.3">
      <c r="A102" s="8"/>
      <c r="B102" s="31"/>
      <c r="C102" s="32"/>
      <c r="D102" s="32"/>
      <c r="E102" s="32"/>
      <c r="F102" s="32"/>
      <c r="G102" s="8"/>
      <c r="H102" s="8"/>
      <c r="I102" s="8"/>
      <c r="J102" s="8"/>
      <c r="K102" s="8"/>
      <c r="L102" s="8"/>
      <c r="M102" s="8"/>
      <c r="N102" s="8"/>
      <c r="O102" s="8"/>
      <c r="P102" s="8"/>
      <c r="Q102" s="8"/>
      <c r="R102" s="8"/>
      <c r="S102" s="8"/>
      <c r="T102" s="8"/>
      <c r="U102" s="8"/>
      <c r="V102" s="8"/>
      <c r="W102" s="8"/>
      <c r="X102" s="8"/>
      <c r="Y102" s="8"/>
      <c r="Z102" s="8"/>
    </row>
    <row r="103" spans="1:26" ht="12.75" customHeight="1" x14ac:dyDescent="0.3">
      <c r="A103" s="8"/>
      <c r="B103" s="31"/>
      <c r="C103" s="32"/>
      <c r="D103" s="32"/>
      <c r="E103" s="32"/>
      <c r="F103" s="32"/>
      <c r="G103" s="8"/>
      <c r="H103" s="8"/>
      <c r="I103" s="8"/>
      <c r="J103" s="8"/>
      <c r="K103" s="8"/>
      <c r="L103" s="8"/>
      <c r="M103" s="8"/>
      <c r="N103" s="8"/>
      <c r="O103" s="8"/>
      <c r="P103" s="8"/>
      <c r="Q103" s="8"/>
      <c r="R103" s="8"/>
      <c r="S103" s="8"/>
      <c r="T103" s="8"/>
      <c r="U103" s="8"/>
      <c r="V103" s="8"/>
      <c r="W103" s="8"/>
      <c r="X103" s="8"/>
      <c r="Y103" s="8"/>
      <c r="Z103" s="8"/>
    </row>
    <row r="104" spans="1:26" ht="12.75" customHeight="1" x14ac:dyDescent="0.3">
      <c r="A104" s="8"/>
      <c r="B104" s="31"/>
      <c r="C104" s="32"/>
      <c r="D104" s="32"/>
      <c r="E104" s="32"/>
      <c r="F104" s="32"/>
      <c r="G104" s="8"/>
      <c r="H104" s="8"/>
      <c r="I104" s="8"/>
      <c r="J104" s="8"/>
      <c r="K104" s="8"/>
      <c r="L104" s="8"/>
      <c r="M104" s="8"/>
      <c r="N104" s="8"/>
      <c r="O104" s="8"/>
      <c r="P104" s="8"/>
      <c r="Q104" s="8"/>
      <c r="R104" s="8"/>
      <c r="S104" s="8"/>
      <c r="T104" s="8"/>
      <c r="U104" s="8"/>
      <c r="V104" s="8"/>
      <c r="W104" s="8"/>
      <c r="X104" s="8"/>
      <c r="Y104" s="8"/>
      <c r="Z104" s="8"/>
    </row>
    <row r="105" spans="1:26" ht="12.75" customHeight="1" x14ac:dyDescent="0.3">
      <c r="A105" s="8"/>
      <c r="B105" s="31"/>
      <c r="C105" s="32"/>
      <c r="D105" s="32"/>
      <c r="E105" s="32"/>
      <c r="F105" s="32"/>
      <c r="G105" s="8"/>
      <c r="H105" s="8"/>
      <c r="I105" s="8"/>
      <c r="J105" s="8"/>
      <c r="K105" s="8"/>
      <c r="L105" s="8"/>
      <c r="M105" s="8"/>
      <c r="N105" s="8"/>
      <c r="O105" s="8"/>
      <c r="P105" s="8"/>
      <c r="Q105" s="8"/>
      <c r="R105" s="8"/>
      <c r="S105" s="8"/>
      <c r="T105" s="8"/>
      <c r="U105" s="8"/>
      <c r="V105" s="8"/>
      <c r="W105" s="8"/>
      <c r="X105" s="8"/>
      <c r="Y105" s="8"/>
      <c r="Z105" s="8"/>
    </row>
    <row r="106" spans="1:26" ht="12.75" customHeight="1" x14ac:dyDescent="0.3">
      <c r="A106" s="8"/>
      <c r="B106" s="31"/>
      <c r="C106" s="32"/>
      <c r="D106" s="32"/>
      <c r="E106" s="32"/>
      <c r="F106" s="32"/>
      <c r="G106" s="8"/>
      <c r="H106" s="8"/>
      <c r="I106" s="8"/>
      <c r="J106" s="8"/>
      <c r="K106" s="8"/>
      <c r="L106" s="8"/>
      <c r="M106" s="8"/>
      <c r="N106" s="8"/>
      <c r="O106" s="8"/>
      <c r="P106" s="8"/>
      <c r="Q106" s="8"/>
      <c r="R106" s="8"/>
      <c r="S106" s="8"/>
      <c r="T106" s="8"/>
      <c r="U106" s="8"/>
      <c r="V106" s="8"/>
      <c r="W106" s="8"/>
      <c r="X106" s="8"/>
      <c r="Y106" s="8"/>
      <c r="Z106" s="8"/>
    </row>
    <row r="107" spans="1:26" ht="12.75" customHeight="1" x14ac:dyDescent="0.3">
      <c r="A107" s="8"/>
      <c r="B107" s="31"/>
      <c r="C107" s="32"/>
      <c r="D107" s="32"/>
      <c r="E107" s="32"/>
      <c r="F107" s="32"/>
      <c r="G107" s="8"/>
      <c r="H107" s="8"/>
      <c r="I107" s="8"/>
      <c r="J107" s="8"/>
      <c r="K107" s="8"/>
      <c r="L107" s="8"/>
      <c r="M107" s="8"/>
      <c r="N107" s="8"/>
      <c r="O107" s="8"/>
      <c r="P107" s="8"/>
      <c r="Q107" s="8"/>
      <c r="R107" s="8"/>
      <c r="S107" s="8"/>
      <c r="T107" s="8"/>
      <c r="U107" s="8"/>
      <c r="V107" s="8"/>
      <c r="W107" s="8"/>
      <c r="X107" s="8"/>
      <c r="Y107" s="8"/>
      <c r="Z107" s="8"/>
    </row>
    <row r="108" spans="1:26" ht="12.75" customHeight="1" x14ac:dyDescent="0.3">
      <c r="A108" s="8"/>
      <c r="B108" s="31"/>
      <c r="C108" s="32"/>
      <c r="D108" s="32"/>
      <c r="E108" s="32"/>
      <c r="F108" s="32"/>
      <c r="G108" s="8"/>
      <c r="H108" s="8"/>
      <c r="I108" s="8"/>
      <c r="J108" s="8"/>
      <c r="K108" s="8"/>
      <c r="L108" s="8"/>
      <c r="M108" s="8"/>
      <c r="N108" s="8"/>
      <c r="O108" s="8"/>
      <c r="P108" s="8"/>
      <c r="Q108" s="8"/>
      <c r="R108" s="8"/>
      <c r="S108" s="8"/>
      <c r="T108" s="8"/>
      <c r="U108" s="8"/>
      <c r="V108" s="8"/>
      <c r="W108" s="8"/>
      <c r="X108" s="8"/>
      <c r="Y108" s="8"/>
      <c r="Z108" s="8"/>
    </row>
    <row r="109" spans="1:26" ht="12.75" customHeight="1" x14ac:dyDescent="0.3">
      <c r="A109" s="8"/>
      <c r="B109" s="31"/>
      <c r="C109" s="32"/>
      <c r="D109" s="32"/>
      <c r="E109" s="32"/>
      <c r="F109" s="32"/>
      <c r="G109" s="8"/>
      <c r="H109" s="8"/>
      <c r="I109" s="8"/>
      <c r="J109" s="8"/>
      <c r="K109" s="8"/>
      <c r="L109" s="8"/>
      <c r="M109" s="8"/>
      <c r="N109" s="8"/>
      <c r="O109" s="8"/>
      <c r="P109" s="8"/>
      <c r="Q109" s="8"/>
      <c r="R109" s="8"/>
      <c r="S109" s="8"/>
      <c r="T109" s="8"/>
      <c r="U109" s="8"/>
      <c r="V109" s="8"/>
      <c r="W109" s="8"/>
      <c r="X109" s="8"/>
      <c r="Y109" s="8"/>
      <c r="Z109" s="8"/>
    </row>
    <row r="110" spans="1:26" ht="12.75" customHeight="1" x14ac:dyDescent="0.3">
      <c r="A110" s="8"/>
      <c r="B110" s="31"/>
      <c r="C110" s="32"/>
      <c r="D110" s="32"/>
      <c r="E110" s="32"/>
      <c r="F110" s="32"/>
      <c r="G110" s="8"/>
      <c r="H110" s="8"/>
      <c r="I110" s="8"/>
      <c r="J110" s="8"/>
      <c r="K110" s="8"/>
      <c r="L110" s="8"/>
      <c r="M110" s="8"/>
      <c r="N110" s="8"/>
      <c r="O110" s="8"/>
      <c r="P110" s="8"/>
      <c r="Q110" s="8"/>
      <c r="R110" s="8"/>
      <c r="S110" s="8"/>
      <c r="T110" s="8"/>
      <c r="U110" s="8"/>
      <c r="V110" s="8"/>
      <c r="W110" s="8"/>
      <c r="X110" s="8"/>
      <c r="Y110" s="8"/>
      <c r="Z110" s="8"/>
    </row>
    <row r="111" spans="1:26" ht="12.75" customHeight="1" x14ac:dyDescent="0.3">
      <c r="A111" s="8"/>
      <c r="B111" s="31"/>
      <c r="C111" s="32"/>
      <c r="D111" s="32"/>
      <c r="E111" s="32"/>
      <c r="F111" s="32"/>
      <c r="G111" s="8"/>
      <c r="H111" s="8"/>
      <c r="I111" s="8"/>
      <c r="J111" s="8"/>
      <c r="K111" s="8"/>
      <c r="L111" s="8"/>
      <c r="M111" s="8"/>
      <c r="N111" s="8"/>
      <c r="O111" s="8"/>
      <c r="P111" s="8"/>
      <c r="Q111" s="8"/>
      <c r="R111" s="8"/>
      <c r="S111" s="8"/>
      <c r="T111" s="8"/>
      <c r="U111" s="8"/>
      <c r="V111" s="8"/>
      <c r="W111" s="8"/>
      <c r="X111" s="8"/>
      <c r="Y111" s="8"/>
      <c r="Z111" s="8"/>
    </row>
    <row r="112" spans="1:26" ht="12.75" customHeight="1" x14ac:dyDescent="0.3">
      <c r="A112" s="8"/>
      <c r="B112" s="31"/>
      <c r="C112" s="32"/>
      <c r="D112" s="32"/>
      <c r="E112" s="32"/>
      <c r="F112" s="32"/>
      <c r="G112" s="8"/>
      <c r="H112" s="8"/>
      <c r="I112" s="8"/>
      <c r="J112" s="8"/>
      <c r="K112" s="8"/>
      <c r="L112" s="8"/>
      <c r="M112" s="8"/>
      <c r="N112" s="8"/>
      <c r="O112" s="8"/>
      <c r="P112" s="8"/>
      <c r="Q112" s="8"/>
      <c r="R112" s="8"/>
      <c r="S112" s="8"/>
      <c r="T112" s="8"/>
      <c r="U112" s="8"/>
      <c r="V112" s="8"/>
      <c r="W112" s="8"/>
      <c r="X112" s="8"/>
      <c r="Y112" s="8"/>
      <c r="Z112" s="8"/>
    </row>
    <row r="113" spans="1:26" ht="12.75" customHeight="1" x14ac:dyDescent="0.3">
      <c r="A113" s="8"/>
      <c r="B113" s="31"/>
      <c r="C113" s="32"/>
      <c r="D113" s="32"/>
      <c r="E113" s="32"/>
      <c r="F113" s="32"/>
      <c r="G113" s="8"/>
      <c r="H113" s="8"/>
      <c r="I113" s="8"/>
      <c r="J113" s="8"/>
      <c r="K113" s="8"/>
      <c r="L113" s="8"/>
      <c r="M113" s="8"/>
      <c r="N113" s="8"/>
      <c r="O113" s="8"/>
      <c r="P113" s="8"/>
      <c r="Q113" s="8"/>
      <c r="R113" s="8"/>
      <c r="S113" s="8"/>
      <c r="T113" s="8"/>
      <c r="U113" s="8"/>
      <c r="V113" s="8"/>
      <c r="W113" s="8"/>
      <c r="X113" s="8"/>
      <c r="Y113" s="8"/>
      <c r="Z113" s="8"/>
    </row>
    <row r="114" spans="1:26" ht="12.75" customHeight="1" x14ac:dyDescent="0.3">
      <c r="A114" s="8"/>
      <c r="B114" s="31"/>
      <c r="C114" s="32"/>
      <c r="D114" s="32"/>
      <c r="E114" s="32"/>
      <c r="F114" s="32"/>
      <c r="G114" s="8"/>
      <c r="H114" s="8"/>
      <c r="I114" s="8"/>
      <c r="J114" s="8"/>
      <c r="K114" s="8"/>
      <c r="L114" s="8"/>
      <c r="M114" s="8"/>
      <c r="N114" s="8"/>
      <c r="O114" s="8"/>
      <c r="P114" s="8"/>
      <c r="Q114" s="8"/>
      <c r="R114" s="8"/>
      <c r="S114" s="8"/>
      <c r="T114" s="8"/>
      <c r="U114" s="8"/>
      <c r="V114" s="8"/>
      <c r="W114" s="8"/>
      <c r="X114" s="8"/>
      <c r="Y114" s="8"/>
      <c r="Z114" s="8"/>
    </row>
    <row r="115" spans="1:26" ht="12.75" customHeight="1" x14ac:dyDescent="0.3">
      <c r="A115" s="8"/>
      <c r="B115" s="31"/>
      <c r="C115" s="32"/>
      <c r="D115" s="32"/>
      <c r="E115" s="32"/>
      <c r="F115" s="32"/>
      <c r="G115" s="8"/>
      <c r="H115" s="8"/>
      <c r="I115" s="8"/>
      <c r="J115" s="8"/>
      <c r="K115" s="8"/>
      <c r="L115" s="8"/>
      <c r="M115" s="8"/>
      <c r="N115" s="8"/>
      <c r="O115" s="8"/>
      <c r="P115" s="8"/>
      <c r="Q115" s="8"/>
      <c r="R115" s="8"/>
      <c r="S115" s="8"/>
      <c r="T115" s="8"/>
      <c r="U115" s="8"/>
      <c r="V115" s="8"/>
      <c r="W115" s="8"/>
      <c r="X115" s="8"/>
      <c r="Y115" s="8"/>
      <c r="Z115" s="8"/>
    </row>
    <row r="116" spans="1:26" ht="12.75" customHeight="1" x14ac:dyDescent="0.3">
      <c r="A116" s="8"/>
      <c r="B116" s="31"/>
      <c r="C116" s="32"/>
      <c r="D116" s="32"/>
      <c r="E116" s="32"/>
      <c r="F116" s="32"/>
      <c r="G116" s="8"/>
      <c r="H116" s="8"/>
      <c r="I116" s="8"/>
      <c r="J116" s="8"/>
      <c r="K116" s="8"/>
      <c r="L116" s="8"/>
      <c r="M116" s="8"/>
      <c r="N116" s="8"/>
      <c r="O116" s="8"/>
      <c r="P116" s="8"/>
      <c r="Q116" s="8"/>
      <c r="R116" s="8"/>
      <c r="S116" s="8"/>
      <c r="T116" s="8"/>
      <c r="U116" s="8"/>
      <c r="V116" s="8"/>
      <c r="W116" s="8"/>
      <c r="X116" s="8"/>
      <c r="Y116" s="8"/>
      <c r="Z116" s="8"/>
    </row>
    <row r="117" spans="1:26" ht="12.75" customHeight="1" x14ac:dyDescent="0.3">
      <c r="A117" s="8"/>
      <c r="B117" s="31"/>
      <c r="C117" s="32"/>
      <c r="D117" s="32"/>
      <c r="E117" s="32"/>
      <c r="F117" s="32"/>
      <c r="G117" s="8"/>
      <c r="H117" s="8"/>
      <c r="I117" s="8"/>
      <c r="J117" s="8"/>
      <c r="K117" s="8"/>
      <c r="L117" s="8"/>
      <c r="M117" s="8"/>
      <c r="N117" s="8"/>
      <c r="O117" s="8"/>
      <c r="P117" s="8"/>
      <c r="Q117" s="8"/>
      <c r="R117" s="8"/>
      <c r="S117" s="8"/>
      <c r="T117" s="8"/>
      <c r="U117" s="8"/>
      <c r="V117" s="8"/>
      <c r="W117" s="8"/>
      <c r="X117" s="8"/>
      <c r="Y117" s="8"/>
      <c r="Z117" s="8"/>
    </row>
    <row r="118" spans="1:26" ht="12.75" customHeight="1" x14ac:dyDescent="0.3">
      <c r="A118" s="8"/>
      <c r="B118" s="31"/>
      <c r="C118" s="32"/>
      <c r="D118" s="32"/>
      <c r="E118" s="32"/>
      <c r="F118" s="32"/>
      <c r="G118" s="8"/>
      <c r="H118" s="8"/>
      <c r="I118" s="8"/>
      <c r="J118" s="8"/>
      <c r="K118" s="8"/>
      <c r="L118" s="8"/>
      <c r="M118" s="8"/>
      <c r="N118" s="8"/>
      <c r="O118" s="8"/>
      <c r="P118" s="8"/>
      <c r="Q118" s="8"/>
      <c r="R118" s="8"/>
      <c r="S118" s="8"/>
      <c r="T118" s="8"/>
      <c r="U118" s="8"/>
      <c r="V118" s="8"/>
      <c r="W118" s="8"/>
      <c r="X118" s="8"/>
      <c r="Y118" s="8"/>
      <c r="Z118" s="8"/>
    </row>
    <row r="119" spans="1:26" ht="12.75" customHeight="1" x14ac:dyDescent="0.3">
      <c r="A119" s="8"/>
      <c r="B119" s="31"/>
      <c r="C119" s="32"/>
      <c r="D119" s="32"/>
      <c r="E119" s="32"/>
      <c r="F119" s="32"/>
      <c r="G119" s="8"/>
      <c r="H119" s="8"/>
      <c r="I119" s="8"/>
      <c r="J119" s="8"/>
      <c r="K119" s="8"/>
      <c r="L119" s="8"/>
      <c r="M119" s="8"/>
      <c r="N119" s="8"/>
      <c r="O119" s="8"/>
      <c r="P119" s="8"/>
      <c r="Q119" s="8"/>
      <c r="R119" s="8"/>
      <c r="S119" s="8"/>
      <c r="T119" s="8"/>
      <c r="U119" s="8"/>
      <c r="V119" s="8"/>
      <c r="W119" s="8"/>
      <c r="X119" s="8"/>
      <c r="Y119" s="8"/>
      <c r="Z119" s="8"/>
    </row>
    <row r="120" spans="1:26" ht="12.75" customHeight="1" x14ac:dyDescent="0.3">
      <c r="A120" s="8"/>
      <c r="B120" s="31"/>
      <c r="C120" s="32"/>
      <c r="D120" s="32"/>
      <c r="E120" s="32"/>
      <c r="F120" s="32"/>
      <c r="G120" s="8"/>
      <c r="H120" s="8"/>
      <c r="I120" s="8"/>
      <c r="J120" s="8"/>
      <c r="K120" s="8"/>
      <c r="L120" s="8"/>
      <c r="M120" s="8"/>
      <c r="N120" s="8"/>
      <c r="O120" s="8"/>
      <c r="P120" s="8"/>
      <c r="Q120" s="8"/>
      <c r="R120" s="8"/>
      <c r="S120" s="8"/>
      <c r="T120" s="8"/>
      <c r="U120" s="8"/>
      <c r="V120" s="8"/>
      <c r="W120" s="8"/>
      <c r="X120" s="8"/>
      <c r="Y120" s="8"/>
      <c r="Z120" s="8"/>
    </row>
    <row r="121" spans="1:26" ht="12.75" customHeight="1" x14ac:dyDescent="0.3">
      <c r="A121" s="8"/>
      <c r="B121" s="31"/>
      <c r="C121" s="32"/>
      <c r="D121" s="32"/>
      <c r="E121" s="32"/>
      <c r="F121" s="32"/>
      <c r="G121" s="8"/>
      <c r="H121" s="8"/>
      <c r="I121" s="8"/>
      <c r="J121" s="8"/>
      <c r="K121" s="8"/>
      <c r="L121" s="8"/>
      <c r="M121" s="8"/>
      <c r="N121" s="8"/>
      <c r="O121" s="8"/>
      <c r="P121" s="8"/>
      <c r="Q121" s="8"/>
      <c r="R121" s="8"/>
      <c r="S121" s="8"/>
      <c r="T121" s="8"/>
      <c r="U121" s="8"/>
      <c r="V121" s="8"/>
      <c r="W121" s="8"/>
      <c r="X121" s="8"/>
      <c r="Y121" s="8"/>
      <c r="Z121" s="8"/>
    </row>
    <row r="122" spans="1:26" ht="12.75" customHeight="1" x14ac:dyDescent="0.3">
      <c r="A122" s="8"/>
      <c r="B122" s="31"/>
      <c r="C122" s="32"/>
      <c r="D122" s="32"/>
      <c r="E122" s="32"/>
      <c r="F122" s="32"/>
      <c r="G122" s="8"/>
      <c r="H122" s="8"/>
      <c r="I122" s="8"/>
      <c r="J122" s="8"/>
      <c r="K122" s="8"/>
      <c r="L122" s="8"/>
      <c r="M122" s="8"/>
      <c r="N122" s="8"/>
      <c r="O122" s="8"/>
      <c r="P122" s="8"/>
      <c r="Q122" s="8"/>
      <c r="R122" s="8"/>
      <c r="S122" s="8"/>
      <c r="T122" s="8"/>
      <c r="U122" s="8"/>
      <c r="V122" s="8"/>
      <c r="W122" s="8"/>
      <c r="X122" s="8"/>
      <c r="Y122" s="8"/>
      <c r="Z122" s="8"/>
    </row>
    <row r="123" spans="1:26" ht="12.75" customHeight="1" x14ac:dyDescent="0.3">
      <c r="A123" s="8"/>
      <c r="B123" s="31"/>
      <c r="C123" s="32"/>
      <c r="D123" s="32"/>
      <c r="E123" s="32"/>
      <c r="F123" s="32"/>
      <c r="G123" s="8"/>
      <c r="H123" s="8"/>
      <c r="I123" s="8"/>
      <c r="J123" s="8"/>
      <c r="K123" s="8"/>
      <c r="L123" s="8"/>
      <c r="M123" s="8"/>
      <c r="N123" s="8"/>
      <c r="O123" s="8"/>
      <c r="P123" s="8"/>
      <c r="Q123" s="8"/>
      <c r="R123" s="8"/>
      <c r="S123" s="8"/>
      <c r="T123" s="8"/>
      <c r="U123" s="8"/>
      <c r="V123" s="8"/>
      <c r="W123" s="8"/>
      <c r="X123" s="8"/>
      <c r="Y123" s="8"/>
      <c r="Z123" s="8"/>
    </row>
    <row r="124" spans="1:26" ht="12.75" customHeight="1" x14ac:dyDescent="0.3">
      <c r="A124" s="8"/>
      <c r="B124" s="31"/>
      <c r="C124" s="32"/>
      <c r="D124" s="32"/>
      <c r="E124" s="32"/>
      <c r="F124" s="32"/>
      <c r="G124" s="8"/>
      <c r="H124" s="8"/>
      <c r="I124" s="8"/>
      <c r="J124" s="8"/>
      <c r="K124" s="8"/>
      <c r="L124" s="8"/>
      <c r="M124" s="8"/>
      <c r="N124" s="8"/>
      <c r="O124" s="8"/>
      <c r="P124" s="8"/>
      <c r="Q124" s="8"/>
      <c r="R124" s="8"/>
      <c r="S124" s="8"/>
      <c r="T124" s="8"/>
      <c r="U124" s="8"/>
      <c r="V124" s="8"/>
      <c r="W124" s="8"/>
      <c r="X124" s="8"/>
      <c r="Y124" s="8"/>
      <c r="Z124" s="8"/>
    </row>
    <row r="125" spans="1:26" ht="12.75" customHeight="1" x14ac:dyDescent="0.3">
      <c r="A125" s="8"/>
      <c r="B125" s="31"/>
      <c r="C125" s="32"/>
      <c r="D125" s="32"/>
      <c r="E125" s="32"/>
      <c r="F125" s="32"/>
      <c r="G125" s="8"/>
      <c r="H125" s="8"/>
      <c r="I125" s="8"/>
      <c r="J125" s="8"/>
      <c r="K125" s="8"/>
      <c r="L125" s="8"/>
      <c r="M125" s="8"/>
      <c r="N125" s="8"/>
      <c r="O125" s="8"/>
      <c r="P125" s="8"/>
      <c r="Q125" s="8"/>
      <c r="R125" s="8"/>
      <c r="S125" s="8"/>
      <c r="T125" s="8"/>
      <c r="U125" s="8"/>
      <c r="V125" s="8"/>
      <c r="W125" s="8"/>
      <c r="X125" s="8"/>
      <c r="Y125" s="8"/>
      <c r="Z125" s="8"/>
    </row>
    <row r="126" spans="1:26" ht="12.75" customHeight="1" x14ac:dyDescent="0.3">
      <c r="A126" s="8"/>
      <c r="B126" s="31"/>
      <c r="C126" s="32"/>
      <c r="D126" s="32"/>
      <c r="E126" s="32"/>
      <c r="F126" s="32"/>
      <c r="G126" s="8"/>
      <c r="H126" s="8"/>
      <c r="I126" s="8"/>
      <c r="J126" s="8"/>
      <c r="K126" s="8"/>
      <c r="L126" s="8"/>
      <c r="M126" s="8"/>
      <c r="N126" s="8"/>
      <c r="O126" s="8"/>
      <c r="P126" s="8"/>
      <c r="Q126" s="8"/>
      <c r="R126" s="8"/>
      <c r="S126" s="8"/>
      <c r="T126" s="8"/>
      <c r="U126" s="8"/>
      <c r="V126" s="8"/>
      <c r="W126" s="8"/>
      <c r="X126" s="8"/>
      <c r="Y126" s="8"/>
      <c r="Z126" s="8"/>
    </row>
    <row r="127" spans="1:26" ht="12.75" customHeight="1" x14ac:dyDescent="0.3">
      <c r="A127" s="8"/>
      <c r="B127" s="31"/>
      <c r="C127" s="32"/>
      <c r="D127" s="32"/>
      <c r="E127" s="32"/>
      <c r="F127" s="32"/>
      <c r="G127" s="8"/>
      <c r="H127" s="8"/>
      <c r="I127" s="8"/>
      <c r="J127" s="8"/>
      <c r="K127" s="8"/>
      <c r="L127" s="8"/>
      <c r="M127" s="8"/>
      <c r="N127" s="8"/>
      <c r="O127" s="8"/>
      <c r="P127" s="8"/>
      <c r="Q127" s="8"/>
      <c r="R127" s="8"/>
      <c r="S127" s="8"/>
      <c r="T127" s="8"/>
      <c r="U127" s="8"/>
      <c r="V127" s="8"/>
      <c r="W127" s="8"/>
      <c r="X127" s="8"/>
      <c r="Y127" s="8"/>
      <c r="Z127" s="8"/>
    </row>
    <row r="128" spans="1:26" ht="12.75" customHeight="1" x14ac:dyDescent="0.3">
      <c r="A128" s="8"/>
      <c r="B128" s="31"/>
      <c r="C128" s="32"/>
      <c r="D128" s="32"/>
      <c r="E128" s="32"/>
      <c r="F128" s="32"/>
      <c r="G128" s="8"/>
      <c r="H128" s="8"/>
      <c r="I128" s="8"/>
      <c r="J128" s="8"/>
      <c r="K128" s="8"/>
      <c r="L128" s="8"/>
      <c r="M128" s="8"/>
      <c r="N128" s="8"/>
      <c r="O128" s="8"/>
      <c r="P128" s="8"/>
      <c r="Q128" s="8"/>
      <c r="R128" s="8"/>
      <c r="S128" s="8"/>
      <c r="T128" s="8"/>
      <c r="U128" s="8"/>
      <c r="V128" s="8"/>
      <c r="W128" s="8"/>
      <c r="X128" s="8"/>
      <c r="Y128" s="8"/>
      <c r="Z128" s="8"/>
    </row>
    <row r="129" spans="1:26" ht="12.75" customHeight="1" x14ac:dyDescent="0.3">
      <c r="A129" s="8"/>
      <c r="B129" s="31"/>
      <c r="C129" s="32"/>
      <c r="D129" s="32"/>
      <c r="E129" s="32"/>
      <c r="F129" s="32"/>
      <c r="G129" s="8"/>
      <c r="H129" s="8"/>
      <c r="I129" s="8"/>
      <c r="J129" s="8"/>
      <c r="K129" s="8"/>
      <c r="L129" s="8"/>
      <c r="M129" s="8"/>
      <c r="N129" s="8"/>
      <c r="O129" s="8"/>
      <c r="P129" s="8"/>
      <c r="Q129" s="8"/>
      <c r="R129" s="8"/>
      <c r="S129" s="8"/>
      <c r="T129" s="8"/>
      <c r="U129" s="8"/>
      <c r="V129" s="8"/>
      <c r="W129" s="8"/>
      <c r="X129" s="8"/>
      <c r="Y129" s="8"/>
      <c r="Z129" s="8"/>
    </row>
    <row r="130" spans="1:26" ht="12.75" customHeight="1" x14ac:dyDescent="0.3">
      <c r="A130" s="8"/>
      <c r="B130" s="31"/>
      <c r="C130" s="32"/>
      <c r="D130" s="32"/>
      <c r="E130" s="32"/>
      <c r="F130" s="32"/>
      <c r="G130" s="8"/>
      <c r="H130" s="8"/>
      <c r="I130" s="8"/>
      <c r="J130" s="8"/>
      <c r="K130" s="8"/>
      <c r="L130" s="8"/>
      <c r="M130" s="8"/>
      <c r="N130" s="8"/>
      <c r="O130" s="8"/>
      <c r="P130" s="8"/>
      <c r="Q130" s="8"/>
      <c r="R130" s="8"/>
      <c r="S130" s="8"/>
      <c r="T130" s="8"/>
      <c r="U130" s="8"/>
      <c r="V130" s="8"/>
      <c r="W130" s="8"/>
      <c r="X130" s="8"/>
      <c r="Y130" s="8"/>
      <c r="Z130" s="8"/>
    </row>
    <row r="131" spans="1:26" ht="12.75" customHeight="1" x14ac:dyDescent="0.3">
      <c r="A131" s="8"/>
      <c r="B131" s="31"/>
      <c r="C131" s="32"/>
      <c r="D131" s="32"/>
      <c r="E131" s="32"/>
      <c r="F131" s="32"/>
      <c r="G131" s="8"/>
      <c r="H131" s="8"/>
      <c r="I131" s="8"/>
      <c r="J131" s="8"/>
      <c r="K131" s="8"/>
      <c r="L131" s="8"/>
      <c r="M131" s="8"/>
      <c r="N131" s="8"/>
      <c r="O131" s="8"/>
      <c r="P131" s="8"/>
      <c r="Q131" s="8"/>
      <c r="R131" s="8"/>
      <c r="S131" s="8"/>
      <c r="T131" s="8"/>
      <c r="U131" s="8"/>
      <c r="V131" s="8"/>
      <c r="W131" s="8"/>
      <c r="X131" s="8"/>
      <c r="Y131" s="8"/>
      <c r="Z131" s="8"/>
    </row>
    <row r="132" spans="1:26" ht="12.75" customHeight="1" x14ac:dyDescent="0.3">
      <c r="A132" s="8"/>
      <c r="B132" s="31"/>
      <c r="C132" s="32"/>
      <c r="D132" s="32"/>
      <c r="E132" s="32"/>
      <c r="F132" s="32"/>
      <c r="G132" s="8"/>
      <c r="H132" s="8"/>
      <c r="I132" s="8"/>
      <c r="J132" s="8"/>
      <c r="K132" s="8"/>
      <c r="L132" s="8"/>
      <c r="M132" s="8"/>
      <c r="N132" s="8"/>
      <c r="O132" s="8"/>
      <c r="P132" s="8"/>
      <c r="Q132" s="8"/>
      <c r="R132" s="8"/>
      <c r="S132" s="8"/>
      <c r="T132" s="8"/>
      <c r="U132" s="8"/>
      <c r="V132" s="8"/>
      <c r="W132" s="8"/>
      <c r="X132" s="8"/>
      <c r="Y132" s="8"/>
      <c r="Z132" s="8"/>
    </row>
    <row r="133" spans="1:26" ht="12.75" customHeight="1" x14ac:dyDescent="0.3">
      <c r="A133" s="8"/>
      <c r="B133" s="31"/>
      <c r="C133" s="32"/>
      <c r="D133" s="32"/>
      <c r="E133" s="32"/>
      <c r="F133" s="32"/>
      <c r="G133" s="8"/>
      <c r="H133" s="8"/>
      <c r="I133" s="8"/>
      <c r="J133" s="8"/>
      <c r="K133" s="8"/>
      <c r="L133" s="8"/>
      <c r="M133" s="8"/>
      <c r="N133" s="8"/>
      <c r="O133" s="8"/>
      <c r="P133" s="8"/>
      <c r="Q133" s="8"/>
      <c r="R133" s="8"/>
      <c r="S133" s="8"/>
      <c r="T133" s="8"/>
      <c r="U133" s="8"/>
      <c r="V133" s="8"/>
      <c r="W133" s="8"/>
      <c r="X133" s="8"/>
      <c r="Y133" s="8"/>
      <c r="Z133" s="8"/>
    </row>
    <row r="134" spans="1:26" ht="12.75" customHeight="1" x14ac:dyDescent="0.3">
      <c r="A134" s="8"/>
      <c r="B134" s="31"/>
      <c r="C134" s="32"/>
      <c r="D134" s="32"/>
      <c r="E134" s="32"/>
      <c r="F134" s="32"/>
      <c r="G134" s="8"/>
      <c r="H134" s="8"/>
      <c r="I134" s="8"/>
      <c r="J134" s="8"/>
      <c r="K134" s="8"/>
      <c r="L134" s="8"/>
      <c r="M134" s="8"/>
      <c r="N134" s="8"/>
      <c r="O134" s="8"/>
      <c r="P134" s="8"/>
      <c r="Q134" s="8"/>
      <c r="R134" s="8"/>
      <c r="S134" s="8"/>
      <c r="T134" s="8"/>
      <c r="U134" s="8"/>
      <c r="V134" s="8"/>
      <c r="W134" s="8"/>
      <c r="X134" s="8"/>
      <c r="Y134" s="8"/>
      <c r="Z134" s="8"/>
    </row>
    <row r="135" spans="1:26" ht="12.75" customHeight="1" x14ac:dyDescent="0.3">
      <c r="A135" s="8"/>
      <c r="B135" s="31"/>
      <c r="C135" s="32"/>
      <c r="D135" s="32"/>
      <c r="E135" s="32"/>
      <c r="F135" s="32"/>
      <c r="G135" s="8"/>
      <c r="H135" s="8"/>
      <c r="I135" s="8"/>
      <c r="J135" s="8"/>
      <c r="K135" s="8"/>
      <c r="L135" s="8"/>
      <c r="M135" s="8"/>
      <c r="N135" s="8"/>
      <c r="O135" s="8"/>
      <c r="P135" s="8"/>
      <c r="Q135" s="8"/>
      <c r="R135" s="8"/>
      <c r="S135" s="8"/>
      <c r="T135" s="8"/>
      <c r="U135" s="8"/>
      <c r="V135" s="8"/>
      <c r="W135" s="8"/>
      <c r="X135" s="8"/>
      <c r="Y135" s="8"/>
      <c r="Z135" s="8"/>
    </row>
    <row r="136" spans="1:26" ht="12.75" customHeight="1" x14ac:dyDescent="0.3">
      <c r="A136" s="8"/>
      <c r="B136" s="31"/>
      <c r="C136" s="32"/>
      <c r="D136" s="32"/>
      <c r="E136" s="32"/>
      <c r="F136" s="32"/>
      <c r="G136" s="8"/>
      <c r="H136" s="8"/>
      <c r="I136" s="8"/>
      <c r="J136" s="8"/>
      <c r="K136" s="8"/>
      <c r="L136" s="8"/>
      <c r="M136" s="8"/>
      <c r="N136" s="8"/>
      <c r="O136" s="8"/>
      <c r="P136" s="8"/>
      <c r="Q136" s="8"/>
      <c r="R136" s="8"/>
      <c r="S136" s="8"/>
      <c r="T136" s="8"/>
      <c r="U136" s="8"/>
      <c r="V136" s="8"/>
      <c r="W136" s="8"/>
      <c r="X136" s="8"/>
      <c r="Y136" s="8"/>
      <c r="Z136" s="8"/>
    </row>
    <row r="137" spans="1:26" ht="12.75" customHeight="1" x14ac:dyDescent="0.3">
      <c r="A137" s="8"/>
      <c r="B137" s="31"/>
      <c r="C137" s="32"/>
      <c r="D137" s="32"/>
      <c r="E137" s="32"/>
      <c r="F137" s="32"/>
      <c r="G137" s="8"/>
      <c r="H137" s="8"/>
      <c r="I137" s="8"/>
      <c r="J137" s="8"/>
      <c r="K137" s="8"/>
      <c r="L137" s="8"/>
      <c r="M137" s="8"/>
      <c r="N137" s="8"/>
      <c r="O137" s="8"/>
      <c r="P137" s="8"/>
      <c r="Q137" s="8"/>
      <c r="R137" s="8"/>
      <c r="S137" s="8"/>
      <c r="T137" s="8"/>
      <c r="U137" s="8"/>
      <c r="V137" s="8"/>
      <c r="W137" s="8"/>
      <c r="X137" s="8"/>
      <c r="Y137" s="8"/>
      <c r="Z137" s="8"/>
    </row>
    <row r="138" spans="1:26" ht="12.75" customHeight="1" x14ac:dyDescent="0.3">
      <c r="A138" s="8"/>
      <c r="B138" s="31"/>
      <c r="C138" s="32"/>
      <c r="D138" s="32"/>
      <c r="E138" s="32"/>
      <c r="F138" s="32"/>
      <c r="G138" s="8"/>
      <c r="H138" s="8"/>
      <c r="I138" s="8"/>
      <c r="J138" s="8"/>
      <c r="K138" s="8"/>
      <c r="L138" s="8"/>
      <c r="M138" s="8"/>
      <c r="N138" s="8"/>
      <c r="O138" s="8"/>
      <c r="P138" s="8"/>
      <c r="Q138" s="8"/>
      <c r="R138" s="8"/>
      <c r="S138" s="8"/>
      <c r="T138" s="8"/>
      <c r="U138" s="8"/>
      <c r="V138" s="8"/>
      <c r="W138" s="8"/>
      <c r="X138" s="8"/>
      <c r="Y138" s="8"/>
      <c r="Z138" s="8"/>
    </row>
    <row r="139" spans="1:26" ht="12.75" customHeight="1" x14ac:dyDescent="0.3">
      <c r="A139" s="8"/>
      <c r="B139" s="31"/>
      <c r="C139" s="32"/>
      <c r="D139" s="32"/>
      <c r="E139" s="32"/>
      <c r="F139" s="32"/>
      <c r="G139" s="8"/>
      <c r="H139" s="8"/>
      <c r="I139" s="8"/>
      <c r="J139" s="8"/>
      <c r="K139" s="8"/>
      <c r="L139" s="8"/>
      <c r="M139" s="8"/>
      <c r="N139" s="8"/>
      <c r="O139" s="8"/>
      <c r="P139" s="8"/>
      <c r="Q139" s="8"/>
      <c r="R139" s="8"/>
      <c r="S139" s="8"/>
      <c r="T139" s="8"/>
      <c r="U139" s="8"/>
      <c r="V139" s="8"/>
      <c r="W139" s="8"/>
      <c r="X139" s="8"/>
      <c r="Y139" s="8"/>
      <c r="Z139" s="8"/>
    </row>
    <row r="140" spans="1:26" ht="12.75" customHeight="1" x14ac:dyDescent="0.3">
      <c r="A140" s="8"/>
      <c r="B140" s="31"/>
      <c r="C140" s="32"/>
      <c r="D140" s="32"/>
      <c r="E140" s="32"/>
      <c r="F140" s="32"/>
      <c r="G140" s="8"/>
      <c r="H140" s="8"/>
      <c r="I140" s="8"/>
      <c r="J140" s="8"/>
      <c r="K140" s="8"/>
      <c r="L140" s="8"/>
      <c r="M140" s="8"/>
      <c r="N140" s="8"/>
      <c r="O140" s="8"/>
      <c r="P140" s="8"/>
      <c r="Q140" s="8"/>
      <c r="R140" s="8"/>
      <c r="S140" s="8"/>
      <c r="T140" s="8"/>
      <c r="U140" s="8"/>
      <c r="V140" s="8"/>
      <c r="W140" s="8"/>
      <c r="X140" s="8"/>
      <c r="Y140" s="8"/>
      <c r="Z140" s="8"/>
    </row>
    <row r="141" spans="1:26" ht="12.75" customHeight="1" x14ac:dyDescent="0.3">
      <c r="A141" s="8"/>
      <c r="B141" s="31"/>
      <c r="C141" s="32"/>
      <c r="D141" s="32"/>
      <c r="E141" s="32"/>
      <c r="F141" s="32"/>
      <c r="G141" s="8"/>
      <c r="H141" s="8"/>
      <c r="I141" s="8"/>
      <c r="J141" s="8"/>
      <c r="K141" s="8"/>
      <c r="L141" s="8"/>
      <c r="M141" s="8"/>
      <c r="N141" s="8"/>
      <c r="O141" s="8"/>
      <c r="P141" s="8"/>
      <c r="Q141" s="8"/>
      <c r="R141" s="8"/>
      <c r="S141" s="8"/>
      <c r="T141" s="8"/>
      <c r="U141" s="8"/>
      <c r="V141" s="8"/>
      <c r="W141" s="8"/>
      <c r="X141" s="8"/>
      <c r="Y141" s="8"/>
      <c r="Z141" s="8"/>
    </row>
    <row r="142" spans="1:26" ht="12.75" customHeight="1" x14ac:dyDescent="0.3">
      <c r="A142" s="8"/>
      <c r="B142" s="31"/>
      <c r="C142" s="32"/>
      <c r="D142" s="32"/>
      <c r="E142" s="32"/>
      <c r="F142" s="32"/>
      <c r="G142" s="8"/>
      <c r="H142" s="8"/>
      <c r="I142" s="8"/>
      <c r="J142" s="8"/>
      <c r="K142" s="8"/>
      <c r="L142" s="8"/>
      <c r="M142" s="8"/>
      <c r="N142" s="8"/>
      <c r="O142" s="8"/>
      <c r="P142" s="8"/>
      <c r="Q142" s="8"/>
      <c r="R142" s="8"/>
      <c r="S142" s="8"/>
      <c r="T142" s="8"/>
      <c r="U142" s="8"/>
      <c r="V142" s="8"/>
      <c r="W142" s="8"/>
      <c r="X142" s="8"/>
      <c r="Y142" s="8"/>
      <c r="Z142" s="8"/>
    </row>
    <row r="143" spans="1:26" ht="12.75" customHeight="1" x14ac:dyDescent="0.3">
      <c r="A143" s="8"/>
      <c r="B143" s="31"/>
      <c r="C143" s="32"/>
      <c r="D143" s="32"/>
      <c r="E143" s="32"/>
      <c r="F143" s="32"/>
      <c r="G143" s="8"/>
      <c r="H143" s="8"/>
      <c r="I143" s="8"/>
      <c r="J143" s="8"/>
      <c r="K143" s="8"/>
      <c r="L143" s="8"/>
      <c r="M143" s="8"/>
      <c r="N143" s="8"/>
      <c r="O143" s="8"/>
      <c r="P143" s="8"/>
      <c r="Q143" s="8"/>
      <c r="R143" s="8"/>
      <c r="S143" s="8"/>
      <c r="T143" s="8"/>
      <c r="U143" s="8"/>
      <c r="V143" s="8"/>
      <c r="W143" s="8"/>
      <c r="X143" s="8"/>
      <c r="Y143" s="8"/>
      <c r="Z143" s="8"/>
    </row>
    <row r="144" spans="1:26" ht="12.75" customHeight="1" x14ac:dyDescent="0.3">
      <c r="A144" s="8"/>
      <c r="B144" s="31"/>
      <c r="C144" s="32"/>
      <c r="D144" s="32"/>
      <c r="E144" s="32"/>
      <c r="F144" s="32"/>
      <c r="G144" s="8"/>
      <c r="H144" s="8"/>
      <c r="I144" s="8"/>
      <c r="J144" s="8"/>
      <c r="K144" s="8"/>
      <c r="L144" s="8"/>
      <c r="M144" s="8"/>
      <c r="N144" s="8"/>
      <c r="O144" s="8"/>
      <c r="P144" s="8"/>
      <c r="Q144" s="8"/>
      <c r="R144" s="8"/>
      <c r="S144" s="8"/>
      <c r="T144" s="8"/>
      <c r="U144" s="8"/>
      <c r="V144" s="8"/>
      <c r="W144" s="8"/>
      <c r="X144" s="8"/>
      <c r="Y144" s="8"/>
      <c r="Z144" s="8"/>
    </row>
    <row r="145" spans="1:26" ht="12.75" customHeight="1" x14ac:dyDescent="0.3">
      <c r="A145" s="8"/>
      <c r="B145" s="31"/>
      <c r="C145" s="32"/>
      <c r="D145" s="32"/>
      <c r="E145" s="32"/>
      <c r="F145" s="32"/>
      <c r="G145" s="8"/>
      <c r="H145" s="8"/>
      <c r="I145" s="8"/>
      <c r="J145" s="8"/>
      <c r="K145" s="8"/>
      <c r="L145" s="8"/>
      <c r="M145" s="8"/>
      <c r="N145" s="8"/>
      <c r="O145" s="8"/>
      <c r="P145" s="8"/>
      <c r="Q145" s="8"/>
      <c r="R145" s="8"/>
      <c r="S145" s="8"/>
      <c r="T145" s="8"/>
      <c r="U145" s="8"/>
      <c r="V145" s="8"/>
      <c r="W145" s="8"/>
      <c r="X145" s="8"/>
      <c r="Y145" s="8"/>
      <c r="Z145" s="8"/>
    </row>
    <row r="146" spans="1:26" ht="12.75" customHeight="1" x14ac:dyDescent="0.3">
      <c r="A146" s="8"/>
      <c r="B146" s="31"/>
      <c r="C146" s="32"/>
      <c r="D146" s="32"/>
      <c r="E146" s="32"/>
      <c r="F146" s="32"/>
      <c r="G146" s="8"/>
      <c r="H146" s="8"/>
      <c r="I146" s="8"/>
      <c r="J146" s="8"/>
      <c r="K146" s="8"/>
      <c r="L146" s="8"/>
      <c r="M146" s="8"/>
      <c r="N146" s="8"/>
      <c r="O146" s="8"/>
      <c r="P146" s="8"/>
      <c r="Q146" s="8"/>
      <c r="R146" s="8"/>
      <c r="S146" s="8"/>
      <c r="T146" s="8"/>
      <c r="U146" s="8"/>
      <c r="V146" s="8"/>
      <c r="W146" s="8"/>
      <c r="X146" s="8"/>
      <c r="Y146" s="8"/>
      <c r="Z146" s="8"/>
    </row>
    <row r="147" spans="1:26" ht="12.75" customHeight="1" x14ac:dyDescent="0.3">
      <c r="A147" s="8"/>
      <c r="B147" s="31"/>
      <c r="C147" s="32"/>
      <c r="D147" s="32"/>
      <c r="E147" s="32"/>
      <c r="F147" s="32"/>
      <c r="G147" s="8"/>
      <c r="H147" s="8"/>
      <c r="I147" s="8"/>
      <c r="J147" s="8"/>
      <c r="K147" s="8"/>
      <c r="L147" s="8"/>
      <c r="M147" s="8"/>
      <c r="N147" s="8"/>
      <c r="O147" s="8"/>
      <c r="P147" s="8"/>
      <c r="Q147" s="8"/>
      <c r="R147" s="8"/>
      <c r="S147" s="8"/>
      <c r="T147" s="8"/>
      <c r="U147" s="8"/>
      <c r="V147" s="8"/>
      <c r="W147" s="8"/>
      <c r="X147" s="8"/>
      <c r="Y147" s="8"/>
      <c r="Z147" s="8"/>
    </row>
    <row r="148" spans="1:26" ht="12.75" customHeight="1" x14ac:dyDescent="0.3">
      <c r="A148" s="8"/>
      <c r="B148" s="31"/>
      <c r="C148" s="32"/>
      <c r="D148" s="32"/>
      <c r="E148" s="32"/>
      <c r="F148" s="32"/>
      <c r="G148" s="8"/>
      <c r="H148" s="8"/>
      <c r="I148" s="8"/>
      <c r="J148" s="8"/>
      <c r="K148" s="8"/>
      <c r="L148" s="8"/>
      <c r="M148" s="8"/>
      <c r="N148" s="8"/>
      <c r="O148" s="8"/>
      <c r="P148" s="8"/>
      <c r="Q148" s="8"/>
      <c r="R148" s="8"/>
      <c r="S148" s="8"/>
      <c r="T148" s="8"/>
      <c r="U148" s="8"/>
      <c r="V148" s="8"/>
      <c r="W148" s="8"/>
      <c r="X148" s="8"/>
      <c r="Y148" s="8"/>
      <c r="Z148" s="8"/>
    </row>
    <row r="149" spans="1:26" ht="12.75" customHeight="1" x14ac:dyDescent="0.3">
      <c r="A149" s="8"/>
      <c r="B149" s="31"/>
      <c r="C149" s="32"/>
      <c r="D149" s="32"/>
      <c r="E149" s="32"/>
      <c r="F149" s="32"/>
      <c r="G149" s="8"/>
      <c r="H149" s="8"/>
      <c r="I149" s="8"/>
      <c r="J149" s="8"/>
      <c r="K149" s="8"/>
      <c r="L149" s="8"/>
      <c r="M149" s="8"/>
      <c r="N149" s="8"/>
      <c r="O149" s="8"/>
      <c r="P149" s="8"/>
      <c r="Q149" s="8"/>
      <c r="R149" s="8"/>
      <c r="S149" s="8"/>
      <c r="T149" s="8"/>
      <c r="U149" s="8"/>
      <c r="V149" s="8"/>
      <c r="W149" s="8"/>
      <c r="X149" s="8"/>
      <c r="Y149" s="8"/>
      <c r="Z149" s="8"/>
    </row>
    <row r="150" spans="1:26" ht="12.75" customHeight="1" x14ac:dyDescent="0.3">
      <c r="A150" s="8"/>
      <c r="B150" s="31"/>
      <c r="C150" s="32"/>
      <c r="D150" s="32"/>
      <c r="E150" s="32"/>
      <c r="F150" s="32"/>
      <c r="G150" s="8"/>
      <c r="H150" s="8"/>
      <c r="I150" s="8"/>
      <c r="J150" s="8"/>
      <c r="K150" s="8"/>
      <c r="L150" s="8"/>
      <c r="M150" s="8"/>
      <c r="N150" s="8"/>
      <c r="O150" s="8"/>
      <c r="P150" s="8"/>
      <c r="Q150" s="8"/>
      <c r="R150" s="8"/>
      <c r="S150" s="8"/>
      <c r="T150" s="8"/>
      <c r="U150" s="8"/>
      <c r="V150" s="8"/>
      <c r="W150" s="8"/>
      <c r="X150" s="8"/>
      <c r="Y150" s="8"/>
      <c r="Z150" s="8"/>
    </row>
    <row r="151" spans="1:26" ht="12.75" customHeight="1" x14ac:dyDescent="0.3">
      <c r="A151" s="8"/>
      <c r="B151" s="31"/>
      <c r="C151" s="32"/>
      <c r="D151" s="32"/>
      <c r="E151" s="32"/>
      <c r="F151" s="32"/>
      <c r="G151" s="8"/>
      <c r="H151" s="8"/>
      <c r="I151" s="8"/>
      <c r="J151" s="8"/>
      <c r="K151" s="8"/>
      <c r="L151" s="8"/>
      <c r="M151" s="8"/>
      <c r="N151" s="8"/>
      <c r="O151" s="8"/>
      <c r="P151" s="8"/>
      <c r="Q151" s="8"/>
      <c r="R151" s="8"/>
      <c r="S151" s="8"/>
      <c r="T151" s="8"/>
      <c r="U151" s="8"/>
      <c r="V151" s="8"/>
      <c r="W151" s="8"/>
      <c r="X151" s="8"/>
      <c r="Y151" s="8"/>
      <c r="Z151" s="8"/>
    </row>
    <row r="152" spans="1:26" ht="12.75" customHeight="1" x14ac:dyDescent="0.3">
      <c r="A152" s="8"/>
      <c r="B152" s="31"/>
      <c r="C152" s="32"/>
      <c r="D152" s="32"/>
      <c r="E152" s="32"/>
      <c r="F152" s="32"/>
      <c r="G152" s="8"/>
      <c r="H152" s="8"/>
      <c r="I152" s="8"/>
      <c r="J152" s="8"/>
      <c r="K152" s="8"/>
      <c r="L152" s="8"/>
      <c r="M152" s="8"/>
      <c r="N152" s="8"/>
      <c r="O152" s="8"/>
      <c r="P152" s="8"/>
      <c r="Q152" s="8"/>
      <c r="R152" s="8"/>
      <c r="S152" s="8"/>
      <c r="T152" s="8"/>
      <c r="U152" s="8"/>
      <c r="V152" s="8"/>
      <c r="W152" s="8"/>
      <c r="X152" s="8"/>
      <c r="Y152" s="8"/>
      <c r="Z152" s="8"/>
    </row>
    <row r="153" spans="1:26" ht="12.75" customHeight="1" x14ac:dyDescent="0.3">
      <c r="A153" s="8"/>
      <c r="B153" s="31"/>
      <c r="C153" s="32"/>
      <c r="D153" s="32"/>
      <c r="E153" s="32"/>
      <c r="F153" s="32"/>
      <c r="G153" s="8"/>
      <c r="H153" s="8"/>
      <c r="I153" s="8"/>
      <c r="J153" s="8"/>
      <c r="K153" s="8"/>
      <c r="L153" s="8"/>
      <c r="M153" s="8"/>
      <c r="N153" s="8"/>
      <c r="O153" s="8"/>
      <c r="P153" s="8"/>
      <c r="Q153" s="8"/>
      <c r="R153" s="8"/>
      <c r="S153" s="8"/>
      <c r="T153" s="8"/>
      <c r="U153" s="8"/>
      <c r="V153" s="8"/>
      <c r="W153" s="8"/>
      <c r="X153" s="8"/>
      <c r="Y153" s="8"/>
      <c r="Z153" s="8"/>
    </row>
    <row r="154" spans="1:26" ht="12.75" customHeight="1" x14ac:dyDescent="0.3">
      <c r="A154" s="8"/>
      <c r="B154" s="31"/>
      <c r="C154" s="32"/>
      <c r="D154" s="32"/>
      <c r="E154" s="32"/>
      <c r="F154" s="32"/>
      <c r="G154" s="8"/>
      <c r="H154" s="8"/>
      <c r="I154" s="8"/>
      <c r="J154" s="8"/>
      <c r="K154" s="8"/>
      <c r="L154" s="8"/>
      <c r="M154" s="8"/>
      <c r="N154" s="8"/>
      <c r="O154" s="8"/>
      <c r="P154" s="8"/>
      <c r="Q154" s="8"/>
      <c r="R154" s="8"/>
      <c r="S154" s="8"/>
      <c r="T154" s="8"/>
      <c r="U154" s="8"/>
      <c r="V154" s="8"/>
      <c r="W154" s="8"/>
      <c r="X154" s="8"/>
      <c r="Y154" s="8"/>
      <c r="Z154" s="8"/>
    </row>
    <row r="155" spans="1:26" ht="12.75" customHeight="1" x14ac:dyDescent="0.3">
      <c r="A155" s="8"/>
      <c r="B155" s="31"/>
      <c r="C155" s="32"/>
      <c r="D155" s="32"/>
      <c r="E155" s="32"/>
      <c r="F155" s="32"/>
      <c r="G155" s="8"/>
      <c r="H155" s="8"/>
      <c r="I155" s="8"/>
      <c r="J155" s="8"/>
      <c r="K155" s="8"/>
      <c r="L155" s="8"/>
      <c r="M155" s="8"/>
      <c r="N155" s="8"/>
      <c r="O155" s="8"/>
      <c r="P155" s="8"/>
      <c r="Q155" s="8"/>
      <c r="R155" s="8"/>
      <c r="S155" s="8"/>
      <c r="T155" s="8"/>
      <c r="U155" s="8"/>
      <c r="V155" s="8"/>
      <c r="W155" s="8"/>
      <c r="X155" s="8"/>
      <c r="Y155" s="8"/>
      <c r="Z155" s="8"/>
    </row>
    <row r="156" spans="1:26" ht="12.75" customHeight="1" x14ac:dyDescent="0.3">
      <c r="A156" s="8"/>
      <c r="B156" s="31"/>
      <c r="C156" s="32"/>
      <c r="D156" s="32"/>
      <c r="E156" s="32"/>
      <c r="F156" s="32"/>
      <c r="G156" s="8"/>
      <c r="H156" s="8"/>
      <c r="I156" s="8"/>
      <c r="J156" s="8"/>
      <c r="K156" s="8"/>
      <c r="L156" s="8"/>
      <c r="M156" s="8"/>
      <c r="N156" s="8"/>
      <c r="O156" s="8"/>
      <c r="P156" s="8"/>
      <c r="Q156" s="8"/>
      <c r="R156" s="8"/>
      <c r="S156" s="8"/>
      <c r="T156" s="8"/>
      <c r="U156" s="8"/>
      <c r="V156" s="8"/>
      <c r="W156" s="8"/>
      <c r="X156" s="8"/>
      <c r="Y156" s="8"/>
      <c r="Z156" s="8"/>
    </row>
    <row r="157" spans="1:26" ht="12.75" customHeight="1" x14ac:dyDescent="0.3">
      <c r="A157" s="8"/>
      <c r="B157" s="31"/>
      <c r="C157" s="32"/>
      <c r="D157" s="32"/>
      <c r="E157" s="32"/>
      <c r="F157" s="32"/>
      <c r="G157" s="8"/>
      <c r="H157" s="8"/>
      <c r="I157" s="8"/>
      <c r="J157" s="8"/>
      <c r="K157" s="8"/>
      <c r="L157" s="8"/>
      <c r="M157" s="8"/>
      <c r="N157" s="8"/>
      <c r="O157" s="8"/>
      <c r="P157" s="8"/>
      <c r="Q157" s="8"/>
      <c r="R157" s="8"/>
      <c r="S157" s="8"/>
      <c r="T157" s="8"/>
      <c r="U157" s="8"/>
      <c r="V157" s="8"/>
      <c r="W157" s="8"/>
      <c r="X157" s="8"/>
      <c r="Y157" s="8"/>
      <c r="Z157" s="8"/>
    </row>
    <row r="158" spans="1:26" ht="12.75" customHeight="1" x14ac:dyDescent="0.3">
      <c r="A158" s="8"/>
      <c r="B158" s="31"/>
      <c r="C158" s="32"/>
      <c r="D158" s="32"/>
      <c r="E158" s="32"/>
      <c r="F158" s="32"/>
      <c r="G158" s="8"/>
      <c r="H158" s="8"/>
      <c r="I158" s="8"/>
      <c r="J158" s="8"/>
      <c r="K158" s="8"/>
      <c r="L158" s="8"/>
      <c r="M158" s="8"/>
      <c r="N158" s="8"/>
      <c r="O158" s="8"/>
      <c r="P158" s="8"/>
      <c r="Q158" s="8"/>
      <c r="R158" s="8"/>
      <c r="S158" s="8"/>
      <c r="T158" s="8"/>
      <c r="U158" s="8"/>
      <c r="V158" s="8"/>
      <c r="W158" s="8"/>
      <c r="X158" s="8"/>
      <c r="Y158" s="8"/>
      <c r="Z158" s="8"/>
    </row>
    <row r="159" spans="1:26" ht="12.75" customHeight="1" x14ac:dyDescent="0.3">
      <c r="A159" s="8"/>
      <c r="B159" s="31"/>
      <c r="C159" s="32"/>
      <c r="D159" s="32"/>
      <c r="E159" s="32"/>
      <c r="F159" s="32"/>
      <c r="G159" s="8"/>
      <c r="H159" s="8"/>
      <c r="I159" s="8"/>
      <c r="J159" s="8"/>
      <c r="K159" s="8"/>
      <c r="L159" s="8"/>
      <c r="M159" s="8"/>
      <c r="N159" s="8"/>
      <c r="O159" s="8"/>
      <c r="P159" s="8"/>
      <c r="Q159" s="8"/>
      <c r="R159" s="8"/>
      <c r="S159" s="8"/>
      <c r="T159" s="8"/>
      <c r="U159" s="8"/>
      <c r="V159" s="8"/>
      <c r="W159" s="8"/>
      <c r="X159" s="8"/>
      <c r="Y159" s="8"/>
      <c r="Z159" s="8"/>
    </row>
    <row r="160" spans="1:26" ht="12.75" customHeight="1" x14ac:dyDescent="0.3">
      <c r="A160" s="8"/>
      <c r="B160" s="31"/>
      <c r="C160" s="32"/>
      <c r="D160" s="32"/>
      <c r="E160" s="32"/>
      <c r="F160" s="32"/>
      <c r="G160" s="8"/>
      <c r="H160" s="8"/>
      <c r="I160" s="8"/>
      <c r="J160" s="8"/>
      <c r="K160" s="8"/>
      <c r="L160" s="8"/>
      <c r="M160" s="8"/>
      <c r="N160" s="8"/>
      <c r="O160" s="8"/>
      <c r="P160" s="8"/>
      <c r="Q160" s="8"/>
      <c r="R160" s="8"/>
      <c r="S160" s="8"/>
      <c r="T160" s="8"/>
      <c r="U160" s="8"/>
      <c r="V160" s="8"/>
      <c r="W160" s="8"/>
      <c r="X160" s="8"/>
      <c r="Y160" s="8"/>
      <c r="Z160" s="8"/>
    </row>
    <row r="161" spans="1:26" ht="12.75" customHeight="1" x14ac:dyDescent="0.3">
      <c r="A161" s="8"/>
      <c r="B161" s="31"/>
      <c r="C161" s="32"/>
      <c r="D161" s="32"/>
      <c r="E161" s="32"/>
      <c r="F161" s="32"/>
      <c r="G161" s="8"/>
      <c r="H161" s="8"/>
      <c r="I161" s="8"/>
      <c r="J161" s="8"/>
      <c r="K161" s="8"/>
      <c r="L161" s="8"/>
      <c r="M161" s="8"/>
      <c r="N161" s="8"/>
      <c r="O161" s="8"/>
      <c r="P161" s="8"/>
      <c r="Q161" s="8"/>
      <c r="R161" s="8"/>
      <c r="S161" s="8"/>
      <c r="T161" s="8"/>
      <c r="U161" s="8"/>
      <c r="V161" s="8"/>
      <c r="W161" s="8"/>
      <c r="X161" s="8"/>
      <c r="Y161" s="8"/>
      <c r="Z161" s="8"/>
    </row>
    <row r="162" spans="1:26" ht="12.75" customHeight="1" x14ac:dyDescent="0.3">
      <c r="A162" s="8"/>
      <c r="B162" s="31"/>
      <c r="C162" s="32"/>
      <c r="D162" s="32"/>
      <c r="E162" s="32"/>
      <c r="F162" s="32"/>
      <c r="G162" s="8"/>
      <c r="H162" s="8"/>
      <c r="I162" s="8"/>
      <c r="J162" s="8"/>
      <c r="K162" s="8"/>
      <c r="L162" s="8"/>
      <c r="M162" s="8"/>
      <c r="N162" s="8"/>
      <c r="O162" s="8"/>
      <c r="P162" s="8"/>
      <c r="Q162" s="8"/>
      <c r="R162" s="8"/>
      <c r="S162" s="8"/>
      <c r="T162" s="8"/>
      <c r="U162" s="8"/>
      <c r="V162" s="8"/>
      <c r="W162" s="8"/>
      <c r="X162" s="8"/>
      <c r="Y162" s="8"/>
      <c r="Z162" s="8"/>
    </row>
    <row r="163" spans="1:26" ht="12.75" customHeight="1" x14ac:dyDescent="0.3">
      <c r="A163" s="8"/>
      <c r="B163" s="31"/>
      <c r="C163" s="32"/>
      <c r="D163" s="32"/>
      <c r="E163" s="32"/>
      <c r="F163" s="32"/>
      <c r="G163" s="8"/>
      <c r="H163" s="8"/>
      <c r="I163" s="8"/>
      <c r="J163" s="8"/>
      <c r="K163" s="8"/>
      <c r="L163" s="8"/>
      <c r="M163" s="8"/>
      <c r="N163" s="8"/>
      <c r="O163" s="8"/>
      <c r="P163" s="8"/>
      <c r="Q163" s="8"/>
      <c r="R163" s="8"/>
      <c r="S163" s="8"/>
      <c r="T163" s="8"/>
      <c r="U163" s="8"/>
      <c r="V163" s="8"/>
      <c r="W163" s="8"/>
      <c r="X163" s="8"/>
      <c r="Y163" s="8"/>
      <c r="Z163" s="8"/>
    </row>
    <row r="164" spans="1:26" ht="12.75" customHeight="1" x14ac:dyDescent="0.3">
      <c r="A164" s="8"/>
      <c r="B164" s="31"/>
      <c r="C164" s="32"/>
      <c r="D164" s="32"/>
      <c r="E164" s="32"/>
      <c r="F164" s="32"/>
      <c r="G164" s="8"/>
      <c r="H164" s="8"/>
      <c r="I164" s="8"/>
      <c r="J164" s="8"/>
      <c r="K164" s="8"/>
      <c r="L164" s="8"/>
      <c r="M164" s="8"/>
      <c r="N164" s="8"/>
      <c r="O164" s="8"/>
      <c r="P164" s="8"/>
      <c r="Q164" s="8"/>
      <c r="R164" s="8"/>
      <c r="S164" s="8"/>
      <c r="T164" s="8"/>
      <c r="U164" s="8"/>
      <c r="V164" s="8"/>
      <c r="W164" s="8"/>
      <c r="X164" s="8"/>
      <c r="Y164" s="8"/>
      <c r="Z164" s="8"/>
    </row>
    <row r="165" spans="1:26" ht="12.75" customHeight="1" x14ac:dyDescent="0.3">
      <c r="A165" s="8"/>
      <c r="B165" s="31"/>
      <c r="C165" s="32"/>
      <c r="D165" s="32"/>
      <c r="E165" s="32"/>
      <c r="F165" s="32"/>
      <c r="G165" s="8"/>
      <c r="H165" s="8"/>
      <c r="I165" s="8"/>
      <c r="J165" s="8"/>
      <c r="K165" s="8"/>
      <c r="L165" s="8"/>
      <c r="M165" s="8"/>
      <c r="N165" s="8"/>
      <c r="O165" s="8"/>
      <c r="P165" s="8"/>
      <c r="Q165" s="8"/>
      <c r="R165" s="8"/>
      <c r="S165" s="8"/>
      <c r="T165" s="8"/>
      <c r="U165" s="8"/>
      <c r="V165" s="8"/>
      <c r="W165" s="8"/>
      <c r="X165" s="8"/>
      <c r="Y165" s="8"/>
      <c r="Z165" s="8"/>
    </row>
    <row r="166" spans="1:26" ht="12.75" customHeight="1" x14ac:dyDescent="0.3">
      <c r="A166" s="8"/>
      <c r="B166" s="31"/>
      <c r="C166" s="32"/>
      <c r="D166" s="32"/>
      <c r="E166" s="32"/>
      <c r="F166" s="32"/>
      <c r="G166" s="8"/>
      <c r="H166" s="8"/>
      <c r="I166" s="8"/>
      <c r="J166" s="8"/>
      <c r="K166" s="8"/>
      <c r="L166" s="8"/>
      <c r="M166" s="8"/>
      <c r="N166" s="8"/>
      <c r="O166" s="8"/>
      <c r="P166" s="8"/>
      <c r="Q166" s="8"/>
      <c r="R166" s="8"/>
      <c r="S166" s="8"/>
      <c r="T166" s="8"/>
      <c r="U166" s="8"/>
      <c r="V166" s="8"/>
      <c r="W166" s="8"/>
      <c r="X166" s="8"/>
      <c r="Y166" s="8"/>
      <c r="Z166" s="8"/>
    </row>
    <row r="167" spans="1:26" ht="12.75" customHeight="1" x14ac:dyDescent="0.3">
      <c r="A167" s="8"/>
      <c r="B167" s="31"/>
      <c r="C167" s="32"/>
      <c r="D167" s="32"/>
      <c r="E167" s="32"/>
      <c r="F167" s="32"/>
      <c r="G167" s="8"/>
      <c r="H167" s="8"/>
      <c r="I167" s="8"/>
      <c r="J167" s="8"/>
      <c r="K167" s="8"/>
      <c r="L167" s="8"/>
      <c r="M167" s="8"/>
      <c r="N167" s="8"/>
      <c r="O167" s="8"/>
      <c r="P167" s="8"/>
      <c r="Q167" s="8"/>
      <c r="R167" s="8"/>
      <c r="S167" s="8"/>
      <c r="T167" s="8"/>
      <c r="U167" s="8"/>
      <c r="V167" s="8"/>
      <c r="W167" s="8"/>
      <c r="X167" s="8"/>
      <c r="Y167" s="8"/>
      <c r="Z167" s="8"/>
    </row>
    <row r="168" spans="1:26" ht="12.75" customHeight="1" x14ac:dyDescent="0.3">
      <c r="A168" s="8"/>
      <c r="B168" s="31"/>
      <c r="C168" s="32"/>
      <c r="D168" s="32"/>
      <c r="E168" s="32"/>
      <c r="F168" s="32"/>
      <c r="G168" s="8"/>
      <c r="H168" s="8"/>
      <c r="I168" s="8"/>
      <c r="J168" s="8"/>
      <c r="K168" s="8"/>
      <c r="L168" s="8"/>
      <c r="M168" s="8"/>
      <c r="N168" s="8"/>
      <c r="O168" s="8"/>
      <c r="P168" s="8"/>
      <c r="Q168" s="8"/>
      <c r="R168" s="8"/>
      <c r="S168" s="8"/>
      <c r="T168" s="8"/>
      <c r="U168" s="8"/>
      <c r="V168" s="8"/>
      <c r="W168" s="8"/>
      <c r="X168" s="8"/>
      <c r="Y168" s="8"/>
      <c r="Z168" s="8"/>
    </row>
    <row r="169" spans="1:26" ht="12.75" customHeight="1" x14ac:dyDescent="0.3">
      <c r="A169" s="8"/>
      <c r="B169" s="31"/>
      <c r="C169" s="32"/>
      <c r="D169" s="32"/>
      <c r="E169" s="32"/>
      <c r="F169" s="32"/>
      <c r="G169" s="8"/>
      <c r="H169" s="8"/>
      <c r="I169" s="8"/>
      <c r="J169" s="8"/>
      <c r="K169" s="8"/>
      <c r="L169" s="8"/>
      <c r="M169" s="8"/>
      <c r="N169" s="8"/>
      <c r="O169" s="8"/>
      <c r="P169" s="8"/>
      <c r="Q169" s="8"/>
      <c r="R169" s="8"/>
      <c r="S169" s="8"/>
      <c r="T169" s="8"/>
      <c r="U169" s="8"/>
      <c r="V169" s="8"/>
      <c r="W169" s="8"/>
      <c r="X169" s="8"/>
      <c r="Y169" s="8"/>
      <c r="Z169" s="8"/>
    </row>
    <row r="170" spans="1:26" ht="12.75" customHeight="1" x14ac:dyDescent="0.3">
      <c r="A170" s="8"/>
      <c r="B170" s="31"/>
      <c r="C170" s="32"/>
      <c r="D170" s="32"/>
      <c r="E170" s="32"/>
      <c r="F170" s="32"/>
      <c r="G170" s="8"/>
      <c r="H170" s="8"/>
      <c r="I170" s="8"/>
      <c r="J170" s="8"/>
      <c r="K170" s="8"/>
      <c r="L170" s="8"/>
      <c r="M170" s="8"/>
      <c r="N170" s="8"/>
      <c r="O170" s="8"/>
      <c r="P170" s="8"/>
      <c r="Q170" s="8"/>
      <c r="R170" s="8"/>
      <c r="S170" s="8"/>
      <c r="T170" s="8"/>
      <c r="U170" s="8"/>
      <c r="V170" s="8"/>
      <c r="W170" s="8"/>
      <c r="X170" s="8"/>
      <c r="Y170" s="8"/>
      <c r="Z170" s="8"/>
    </row>
    <row r="171" spans="1:26" ht="12.75" customHeight="1" x14ac:dyDescent="0.3">
      <c r="A171" s="8"/>
      <c r="B171" s="31"/>
      <c r="C171" s="32"/>
      <c r="D171" s="32"/>
      <c r="E171" s="32"/>
      <c r="F171" s="32"/>
      <c r="G171" s="8"/>
      <c r="H171" s="8"/>
      <c r="I171" s="8"/>
      <c r="J171" s="8"/>
      <c r="K171" s="8"/>
      <c r="L171" s="8"/>
      <c r="M171" s="8"/>
      <c r="N171" s="8"/>
      <c r="O171" s="8"/>
      <c r="P171" s="8"/>
      <c r="Q171" s="8"/>
      <c r="R171" s="8"/>
      <c r="S171" s="8"/>
      <c r="T171" s="8"/>
      <c r="U171" s="8"/>
      <c r="V171" s="8"/>
      <c r="W171" s="8"/>
      <c r="X171" s="8"/>
      <c r="Y171" s="8"/>
      <c r="Z171" s="8"/>
    </row>
    <row r="172" spans="1:26" ht="12.75" customHeight="1" x14ac:dyDescent="0.3">
      <c r="A172" s="8"/>
      <c r="B172" s="31"/>
      <c r="C172" s="32"/>
      <c r="D172" s="32"/>
      <c r="E172" s="32"/>
      <c r="F172" s="32"/>
      <c r="G172" s="8"/>
      <c r="H172" s="8"/>
      <c r="I172" s="8"/>
      <c r="J172" s="8"/>
      <c r="K172" s="8"/>
      <c r="L172" s="8"/>
      <c r="M172" s="8"/>
      <c r="N172" s="8"/>
      <c r="O172" s="8"/>
      <c r="P172" s="8"/>
      <c r="Q172" s="8"/>
      <c r="R172" s="8"/>
      <c r="S172" s="8"/>
      <c r="T172" s="8"/>
      <c r="U172" s="8"/>
      <c r="V172" s="8"/>
      <c r="W172" s="8"/>
      <c r="X172" s="8"/>
      <c r="Y172" s="8"/>
      <c r="Z172" s="8"/>
    </row>
    <row r="173" spans="1:26" ht="12.75" customHeight="1" x14ac:dyDescent="0.3">
      <c r="A173" s="8"/>
      <c r="B173" s="31"/>
      <c r="C173" s="32"/>
      <c r="D173" s="32"/>
      <c r="E173" s="32"/>
      <c r="F173" s="32"/>
      <c r="G173" s="8"/>
      <c r="H173" s="8"/>
      <c r="I173" s="8"/>
      <c r="J173" s="8"/>
      <c r="K173" s="8"/>
      <c r="L173" s="8"/>
      <c r="M173" s="8"/>
      <c r="N173" s="8"/>
      <c r="O173" s="8"/>
      <c r="P173" s="8"/>
      <c r="Q173" s="8"/>
      <c r="R173" s="8"/>
      <c r="S173" s="8"/>
      <c r="T173" s="8"/>
      <c r="U173" s="8"/>
      <c r="V173" s="8"/>
      <c r="W173" s="8"/>
      <c r="X173" s="8"/>
      <c r="Y173" s="8"/>
      <c r="Z173" s="8"/>
    </row>
    <row r="174" spans="1:26" ht="12.75" customHeight="1" x14ac:dyDescent="0.3">
      <c r="A174" s="8"/>
      <c r="B174" s="31"/>
      <c r="C174" s="32"/>
      <c r="D174" s="32"/>
      <c r="E174" s="32"/>
      <c r="F174" s="32"/>
      <c r="G174" s="8"/>
      <c r="H174" s="8"/>
      <c r="I174" s="8"/>
      <c r="J174" s="8"/>
      <c r="K174" s="8"/>
      <c r="L174" s="8"/>
      <c r="M174" s="8"/>
      <c r="N174" s="8"/>
      <c r="O174" s="8"/>
      <c r="P174" s="8"/>
      <c r="Q174" s="8"/>
      <c r="R174" s="8"/>
      <c r="S174" s="8"/>
      <c r="T174" s="8"/>
      <c r="U174" s="8"/>
      <c r="V174" s="8"/>
      <c r="W174" s="8"/>
      <c r="X174" s="8"/>
      <c r="Y174" s="8"/>
      <c r="Z174" s="8"/>
    </row>
    <row r="175" spans="1:26" ht="12.75" customHeight="1" x14ac:dyDescent="0.3">
      <c r="A175" s="8"/>
      <c r="B175" s="31"/>
      <c r="C175" s="32"/>
      <c r="D175" s="32"/>
      <c r="E175" s="32"/>
      <c r="F175" s="32"/>
      <c r="G175" s="8"/>
      <c r="H175" s="8"/>
      <c r="I175" s="8"/>
      <c r="J175" s="8"/>
      <c r="K175" s="8"/>
      <c r="L175" s="8"/>
      <c r="M175" s="8"/>
      <c r="N175" s="8"/>
      <c r="O175" s="8"/>
      <c r="P175" s="8"/>
      <c r="Q175" s="8"/>
      <c r="R175" s="8"/>
      <c r="S175" s="8"/>
      <c r="T175" s="8"/>
      <c r="U175" s="8"/>
      <c r="V175" s="8"/>
      <c r="W175" s="8"/>
      <c r="X175" s="8"/>
      <c r="Y175" s="8"/>
      <c r="Z175" s="8"/>
    </row>
    <row r="176" spans="1:26" ht="12.75" customHeight="1" x14ac:dyDescent="0.3">
      <c r="A176" s="8"/>
      <c r="B176" s="31"/>
      <c r="C176" s="32"/>
      <c r="D176" s="32"/>
      <c r="E176" s="32"/>
      <c r="F176" s="32"/>
      <c r="G176" s="8"/>
      <c r="H176" s="8"/>
      <c r="I176" s="8"/>
      <c r="J176" s="8"/>
      <c r="K176" s="8"/>
      <c r="L176" s="8"/>
      <c r="M176" s="8"/>
      <c r="N176" s="8"/>
      <c r="O176" s="8"/>
      <c r="P176" s="8"/>
      <c r="Q176" s="8"/>
      <c r="R176" s="8"/>
      <c r="S176" s="8"/>
      <c r="T176" s="8"/>
      <c r="U176" s="8"/>
      <c r="V176" s="8"/>
      <c r="W176" s="8"/>
      <c r="X176" s="8"/>
      <c r="Y176" s="8"/>
      <c r="Z176" s="8"/>
    </row>
    <row r="177" spans="1:26" ht="12.75" customHeight="1" x14ac:dyDescent="0.3">
      <c r="A177" s="8"/>
      <c r="B177" s="31"/>
      <c r="C177" s="32"/>
      <c r="D177" s="32"/>
      <c r="E177" s="32"/>
      <c r="F177" s="32"/>
      <c r="G177" s="8"/>
      <c r="H177" s="8"/>
      <c r="I177" s="8"/>
      <c r="J177" s="8"/>
      <c r="K177" s="8"/>
      <c r="L177" s="8"/>
      <c r="M177" s="8"/>
      <c r="N177" s="8"/>
      <c r="O177" s="8"/>
      <c r="P177" s="8"/>
      <c r="Q177" s="8"/>
      <c r="R177" s="8"/>
      <c r="S177" s="8"/>
      <c r="T177" s="8"/>
      <c r="U177" s="8"/>
      <c r="V177" s="8"/>
      <c r="W177" s="8"/>
      <c r="X177" s="8"/>
      <c r="Y177" s="8"/>
      <c r="Z177" s="8"/>
    </row>
    <row r="178" spans="1:26" ht="12.75" customHeight="1" x14ac:dyDescent="0.3">
      <c r="A178" s="8"/>
      <c r="B178" s="31"/>
      <c r="C178" s="32"/>
      <c r="D178" s="32"/>
      <c r="E178" s="32"/>
      <c r="F178" s="32"/>
      <c r="G178" s="8"/>
      <c r="H178" s="8"/>
      <c r="I178" s="8"/>
      <c r="J178" s="8"/>
      <c r="K178" s="8"/>
      <c r="L178" s="8"/>
      <c r="M178" s="8"/>
      <c r="N178" s="8"/>
      <c r="O178" s="8"/>
      <c r="P178" s="8"/>
      <c r="Q178" s="8"/>
      <c r="R178" s="8"/>
      <c r="S178" s="8"/>
      <c r="T178" s="8"/>
      <c r="U178" s="8"/>
      <c r="V178" s="8"/>
      <c r="W178" s="8"/>
      <c r="X178" s="8"/>
      <c r="Y178" s="8"/>
      <c r="Z178" s="8"/>
    </row>
    <row r="179" spans="1:26" ht="12.75" customHeight="1" x14ac:dyDescent="0.3">
      <c r="A179" s="8"/>
      <c r="B179" s="31"/>
      <c r="C179" s="32"/>
      <c r="D179" s="32"/>
      <c r="E179" s="32"/>
      <c r="F179" s="32"/>
      <c r="G179" s="8"/>
      <c r="H179" s="8"/>
      <c r="I179" s="8"/>
      <c r="J179" s="8"/>
      <c r="K179" s="8"/>
      <c r="L179" s="8"/>
      <c r="M179" s="8"/>
      <c r="N179" s="8"/>
      <c r="O179" s="8"/>
      <c r="P179" s="8"/>
      <c r="Q179" s="8"/>
      <c r="R179" s="8"/>
      <c r="S179" s="8"/>
      <c r="T179" s="8"/>
      <c r="U179" s="8"/>
      <c r="V179" s="8"/>
      <c r="W179" s="8"/>
      <c r="X179" s="8"/>
      <c r="Y179" s="8"/>
      <c r="Z179" s="8"/>
    </row>
    <row r="180" spans="1:26" ht="12.75" customHeight="1" x14ac:dyDescent="0.3">
      <c r="A180" s="8"/>
      <c r="B180" s="31"/>
      <c r="C180" s="32"/>
      <c r="D180" s="32"/>
      <c r="E180" s="32"/>
      <c r="F180" s="32"/>
      <c r="G180" s="8"/>
      <c r="H180" s="8"/>
      <c r="I180" s="8"/>
      <c r="J180" s="8"/>
      <c r="K180" s="8"/>
      <c r="L180" s="8"/>
      <c r="M180" s="8"/>
      <c r="N180" s="8"/>
      <c r="O180" s="8"/>
      <c r="P180" s="8"/>
      <c r="Q180" s="8"/>
      <c r="R180" s="8"/>
      <c r="S180" s="8"/>
      <c r="T180" s="8"/>
      <c r="U180" s="8"/>
      <c r="V180" s="8"/>
      <c r="W180" s="8"/>
      <c r="X180" s="8"/>
      <c r="Y180" s="8"/>
      <c r="Z180" s="8"/>
    </row>
    <row r="181" spans="1:26" ht="12.75" customHeight="1" x14ac:dyDescent="0.3">
      <c r="A181" s="8"/>
      <c r="B181" s="31"/>
      <c r="C181" s="32"/>
      <c r="D181" s="32"/>
      <c r="E181" s="32"/>
      <c r="F181" s="32"/>
      <c r="G181" s="8"/>
      <c r="H181" s="8"/>
      <c r="I181" s="8"/>
      <c r="J181" s="8"/>
      <c r="K181" s="8"/>
      <c r="L181" s="8"/>
      <c r="M181" s="8"/>
      <c r="N181" s="8"/>
      <c r="O181" s="8"/>
      <c r="P181" s="8"/>
      <c r="Q181" s="8"/>
      <c r="R181" s="8"/>
      <c r="S181" s="8"/>
      <c r="T181" s="8"/>
      <c r="U181" s="8"/>
      <c r="V181" s="8"/>
      <c r="W181" s="8"/>
      <c r="X181" s="8"/>
      <c r="Y181" s="8"/>
      <c r="Z181" s="8"/>
    </row>
    <row r="182" spans="1:26" ht="12.75" customHeight="1" x14ac:dyDescent="0.3">
      <c r="A182" s="8"/>
      <c r="B182" s="31"/>
      <c r="C182" s="32"/>
      <c r="D182" s="32"/>
      <c r="E182" s="32"/>
      <c r="F182" s="32"/>
      <c r="G182" s="8"/>
      <c r="H182" s="8"/>
      <c r="I182" s="8"/>
      <c r="J182" s="8"/>
      <c r="K182" s="8"/>
      <c r="L182" s="8"/>
      <c r="M182" s="8"/>
      <c r="N182" s="8"/>
      <c r="O182" s="8"/>
      <c r="P182" s="8"/>
      <c r="Q182" s="8"/>
      <c r="R182" s="8"/>
      <c r="S182" s="8"/>
      <c r="T182" s="8"/>
      <c r="U182" s="8"/>
      <c r="V182" s="8"/>
      <c r="W182" s="8"/>
      <c r="X182" s="8"/>
      <c r="Y182" s="8"/>
      <c r="Z182" s="8"/>
    </row>
    <row r="183" spans="1:26" ht="12.75" customHeight="1" x14ac:dyDescent="0.3">
      <c r="A183" s="8"/>
      <c r="B183" s="31"/>
      <c r="C183" s="32"/>
      <c r="D183" s="32"/>
      <c r="E183" s="32"/>
      <c r="F183" s="32"/>
      <c r="G183" s="8"/>
      <c r="H183" s="8"/>
      <c r="I183" s="8"/>
      <c r="J183" s="8"/>
      <c r="K183" s="8"/>
      <c r="L183" s="8"/>
      <c r="M183" s="8"/>
      <c r="N183" s="8"/>
      <c r="O183" s="8"/>
      <c r="P183" s="8"/>
      <c r="Q183" s="8"/>
      <c r="R183" s="8"/>
      <c r="S183" s="8"/>
      <c r="T183" s="8"/>
      <c r="U183" s="8"/>
      <c r="V183" s="8"/>
      <c r="W183" s="8"/>
      <c r="X183" s="8"/>
      <c r="Y183" s="8"/>
      <c r="Z183" s="8"/>
    </row>
    <row r="184" spans="1:26" ht="12.75" customHeight="1" x14ac:dyDescent="0.3">
      <c r="A184" s="8"/>
      <c r="B184" s="31"/>
      <c r="C184" s="32"/>
      <c r="D184" s="32"/>
      <c r="E184" s="32"/>
      <c r="F184" s="32"/>
      <c r="G184" s="8"/>
      <c r="H184" s="8"/>
      <c r="I184" s="8"/>
      <c r="J184" s="8"/>
      <c r="K184" s="8"/>
      <c r="L184" s="8"/>
      <c r="M184" s="8"/>
      <c r="N184" s="8"/>
      <c r="O184" s="8"/>
      <c r="P184" s="8"/>
      <c r="Q184" s="8"/>
      <c r="R184" s="8"/>
      <c r="S184" s="8"/>
      <c r="T184" s="8"/>
      <c r="U184" s="8"/>
      <c r="V184" s="8"/>
      <c r="W184" s="8"/>
      <c r="X184" s="8"/>
      <c r="Y184" s="8"/>
      <c r="Z184" s="8"/>
    </row>
    <row r="185" spans="1:26" ht="12.75" customHeight="1" x14ac:dyDescent="0.3">
      <c r="A185" s="8"/>
      <c r="B185" s="31"/>
      <c r="C185" s="32"/>
      <c r="D185" s="32"/>
      <c r="E185" s="32"/>
      <c r="F185" s="32"/>
      <c r="G185" s="8"/>
      <c r="H185" s="8"/>
      <c r="I185" s="8"/>
      <c r="J185" s="8"/>
      <c r="K185" s="8"/>
      <c r="L185" s="8"/>
      <c r="M185" s="8"/>
      <c r="N185" s="8"/>
      <c r="O185" s="8"/>
      <c r="P185" s="8"/>
      <c r="Q185" s="8"/>
      <c r="R185" s="8"/>
      <c r="S185" s="8"/>
      <c r="T185" s="8"/>
      <c r="U185" s="8"/>
      <c r="V185" s="8"/>
      <c r="W185" s="8"/>
      <c r="X185" s="8"/>
      <c r="Y185" s="8"/>
      <c r="Z185" s="8"/>
    </row>
    <row r="186" spans="1:26" ht="12.75" customHeight="1" x14ac:dyDescent="0.3">
      <c r="A186" s="8"/>
      <c r="B186" s="31"/>
      <c r="C186" s="32"/>
      <c r="D186" s="32"/>
      <c r="E186" s="32"/>
      <c r="F186" s="32"/>
      <c r="G186" s="8"/>
      <c r="H186" s="8"/>
      <c r="I186" s="8"/>
      <c r="J186" s="8"/>
      <c r="K186" s="8"/>
      <c r="L186" s="8"/>
      <c r="M186" s="8"/>
      <c r="N186" s="8"/>
      <c r="O186" s="8"/>
      <c r="P186" s="8"/>
      <c r="Q186" s="8"/>
      <c r="R186" s="8"/>
      <c r="S186" s="8"/>
      <c r="T186" s="8"/>
      <c r="U186" s="8"/>
      <c r="V186" s="8"/>
      <c r="W186" s="8"/>
      <c r="X186" s="8"/>
      <c r="Y186" s="8"/>
      <c r="Z186" s="8"/>
    </row>
    <row r="187" spans="1:26" ht="12.75" customHeight="1" x14ac:dyDescent="0.3">
      <c r="A187" s="8"/>
      <c r="B187" s="31"/>
      <c r="C187" s="32"/>
      <c r="D187" s="32"/>
      <c r="E187" s="32"/>
      <c r="F187" s="32"/>
      <c r="G187" s="8"/>
      <c r="H187" s="8"/>
      <c r="I187" s="8"/>
      <c r="J187" s="8"/>
      <c r="K187" s="8"/>
      <c r="L187" s="8"/>
      <c r="M187" s="8"/>
      <c r="N187" s="8"/>
      <c r="O187" s="8"/>
      <c r="P187" s="8"/>
      <c r="Q187" s="8"/>
      <c r="R187" s="8"/>
      <c r="S187" s="8"/>
      <c r="T187" s="8"/>
      <c r="U187" s="8"/>
      <c r="V187" s="8"/>
      <c r="W187" s="8"/>
      <c r="X187" s="8"/>
      <c r="Y187" s="8"/>
      <c r="Z187" s="8"/>
    </row>
    <row r="188" spans="1:26" ht="12.75" customHeight="1" x14ac:dyDescent="0.3">
      <c r="A188" s="8"/>
      <c r="B188" s="31"/>
      <c r="C188" s="32"/>
      <c r="D188" s="32"/>
      <c r="E188" s="32"/>
      <c r="F188" s="32"/>
      <c r="G188" s="8"/>
      <c r="H188" s="8"/>
      <c r="I188" s="8"/>
      <c r="J188" s="8"/>
      <c r="K188" s="8"/>
      <c r="L188" s="8"/>
      <c r="M188" s="8"/>
      <c r="N188" s="8"/>
      <c r="O188" s="8"/>
      <c r="P188" s="8"/>
      <c r="Q188" s="8"/>
      <c r="R188" s="8"/>
      <c r="S188" s="8"/>
      <c r="T188" s="8"/>
      <c r="U188" s="8"/>
      <c r="V188" s="8"/>
      <c r="W188" s="8"/>
      <c r="X188" s="8"/>
      <c r="Y188" s="8"/>
      <c r="Z188" s="8"/>
    </row>
    <row r="189" spans="1:26" ht="12.75" customHeight="1" x14ac:dyDescent="0.3">
      <c r="A189" s="8"/>
      <c r="B189" s="31"/>
      <c r="C189" s="32"/>
      <c r="D189" s="32"/>
      <c r="E189" s="32"/>
      <c r="F189" s="32"/>
      <c r="G189" s="8"/>
      <c r="H189" s="8"/>
      <c r="I189" s="8"/>
      <c r="J189" s="8"/>
      <c r="K189" s="8"/>
      <c r="L189" s="8"/>
      <c r="M189" s="8"/>
      <c r="N189" s="8"/>
      <c r="O189" s="8"/>
      <c r="P189" s="8"/>
      <c r="Q189" s="8"/>
      <c r="R189" s="8"/>
      <c r="S189" s="8"/>
      <c r="T189" s="8"/>
      <c r="U189" s="8"/>
      <c r="V189" s="8"/>
      <c r="W189" s="8"/>
      <c r="X189" s="8"/>
      <c r="Y189" s="8"/>
      <c r="Z189" s="8"/>
    </row>
    <row r="190" spans="1:26" ht="12.75" customHeight="1" x14ac:dyDescent="0.3">
      <c r="A190" s="8"/>
      <c r="B190" s="31"/>
      <c r="C190" s="32"/>
      <c r="D190" s="32"/>
      <c r="E190" s="32"/>
      <c r="F190" s="32"/>
      <c r="G190" s="8"/>
      <c r="H190" s="8"/>
      <c r="I190" s="8"/>
      <c r="J190" s="8"/>
      <c r="K190" s="8"/>
      <c r="L190" s="8"/>
      <c r="M190" s="8"/>
      <c r="N190" s="8"/>
      <c r="O190" s="8"/>
      <c r="P190" s="8"/>
      <c r="Q190" s="8"/>
      <c r="R190" s="8"/>
      <c r="S190" s="8"/>
      <c r="T190" s="8"/>
      <c r="U190" s="8"/>
      <c r="V190" s="8"/>
      <c r="W190" s="8"/>
      <c r="X190" s="8"/>
      <c r="Y190" s="8"/>
      <c r="Z190" s="8"/>
    </row>
    <row r="191" spans="1:26" ht="12.75" customHeight="1" x14ac:dyDescent="0.3">
      <c r="A191" s="8"/>
      <c r="B191" s="31"/>
      <c r="C191" s="32"/>
      <c r="D191" s="32"/>
      <c r="E191" s="32"/>
      <c r="F191" s="32"/>
      <c r="G191" s="8"/>
      <c r="H191" s="8"/>
      <c r="I191" s="8"/>
      <c r="J191" s="8"/>
      <c r="K191" s="8"/>
      <c r="L191" s="8"/>
      <c r="M191" s="8"/>
      <c r="N191" s="8"/>
      <c r="O191" s="8"/>
      <c r="P191" s="8"/>
      <c r="Q191" s="8"/>
      <c r="R191" s="8"/>
      <c r="S191" s="8"/>
      <c r="T191" s="8"/>
      <c r="U191" s="8"/>
      <c r="V191" s="8"/>
      <c r="W191" s="8"/>
      <c r="X191" s="8"/>
      <c r="Y191" s="8"/>
      <c r="Z191" s="8"/>
    </row>
    <row r="192" spans="1:26" ht="12.75" customHeight="1" x14ac:dyDescent="0.3">
      <c r="A192" s="8"/>
      <c r="B192" s="31"/>
      <c r="C192" s="32"/>
      <c r="D192" s="32"/>
      <c r="E192" s="32"/>
      <c r="F192" s="32"/>
      <c r="G192" s="8"/>
      <c r="H192" s="8"/>
      <c r="I192" s="8"/>
      <c r="J192" s="8"/>
      <c r="K192" s="8"/>
      <c r="L192" s="8"/>
      <c r="M192" s="8"/>
      <c r="N192" s="8"/>
      <c r="O192" s="8"/>
      <c r="P192" s="8"/>
      <c r="Q192" s="8"/>
      <c r="R192" s="8"/>
      <c r="S192" s="8"/>
      <c r="T192" s="8"/>
      <c r="U192" s="8"/>
      <c r="V192" s="8"/>
      <c r="W192" s="8"/>
      <c r="X192" s="8"/>
      <c r="Y192" s="8"/>
      <c r="Z192" s="8"/>
    </row>
    <row r="193" spans="1:26" ht="12.75" customHeight="1" x14ac:dyDescent="0.3">
      <c r="A193" s="8"/>
      <c r="B193" s="31"/>
      <c r="C193" s="32"/>
      <c r="D193" s="32"/>
      <c r="E193" s="32"/>
      <c r="F193" s="32"/>
      <c r="G193" s="8"/>
      <c r="H193" s="8"/>
      <c r="I193" s="8"/>
      <c r="J193" s="8"/>
      <c r="K193" s="8"/>
      <c r="L193" s="8"/>
      <c r="M193" s="8"/>
      <c r="N193" s="8"/>
      <c r="O193" s="8"/>
      <c r="P193" s="8"/>
      <c r="Q193" s="8"/>
      <c r="R193" s="8"/>
      <c r="S193" s="8"/>
      <c r="T193" s="8"/>
      <c r="U193" s="8"/>
      <c r="V193" s="8"/>
      <c r="W193" s="8"/>
      <c r="X193" s="8"/>
      <c r="Y193" s="8"/>
      <c r="Z193" s="8"/>
    </row>
    <row r="194" spans="1:26" ht="12.75" customHeight="1" x14ac:dyDescent="0.3">
      <c r="A194" s="8"/>
      <c r="B194" s="31"/>
      <c r="C194" s="32"/>
      <c r="D194" s="32"/>
      <c r="E194" s="32"/>
      <c r="F194" s="32"/>
      <c r="G194" s="8"/>
      <c r="H194" s="8"/>
      <c r="I194" s="8"/>
      <c r="J194" s="8"/>
      <c r="K194" s="8"/>
      <c r="L194" s="8"/>
      <c r="M194" s="8"/>
      <c r="N194" s="8"/>
      <c r="O194" s="8"/>
      <c r="P194" s="8"/>
      <c r="Q194" s="8"/>
      <c r="R194" s="8"/>
      <c r="S194" s="8"/>
      <c r="T194" s="8"/>
      <c r="U194" s="8"/>
      <c r="V194" s="8"/>
      <c r="W194" s="8"/>
      <c r="X194" s="8"/>
      <c r="Y194" s="8"/>
      <c r="Z194" s="8"/>
    </row>
    <row r="195" spans="1:26" ht="12.75" customHeight="1" x14ac:dyDescent="0.3">
      <c r="A195" s="8"/>
      <c r="B195" s="31"/>
      <c r="C195" s="32"/>
      <c r="D195" s="32"/>
      <c r="E195" s="32"/>
      <c r="F195" s="32"/>
      <c r="G195" s="8"/>
      <c r="H195" s="8"/>
      <c r="I195" s="8"/>
      <c r="J195" s="8"/>
      <c r="K195" s="8"/>
      <c r="L195" s="8"/>
      <c r="M195" s="8"/>
      <c r="N195" s="8"/>
      <c r="O195" s="8"/>
      <c r="P195" s="8"/>
      <c r="Q195" s="8"/>
      <c r="R195" s="8"/>
      <c r="S195" s="8"/>
      <c r="T195" s="8"/>
      <c r="U195" s="8"/>
      <c r="V195" s="8"/>
      <c r="W195" s="8"/>
      <c r="X195" s="8"/>
      <c r="Y195" s="8"/>
      <c r="Z195" s="8"/>
    </row>
    <row r="196" spans="1:26" ht="12.75" customHeight="1" x14ac:dyDescent="0.3">
      <c r="A196" s="8"/>
      <c r="B196" s="31"/>
      <c r="C196" s="32"/>
      <c r="D196" s="32"/>
      <c r="E196" s="32"/>
      <c r="F196" s="32"/>
      <c r="G196" s="8"/>
      <c r="H196" s="8"/>
      <c r="I196" s="8"/>
      <c r="J196" s="8"/>
      <c r="K196" s="8"/>
      <c r="L196" s="8"/>
      <c r="M196" s="8"/>
      <c r="N196" s="8"/>
      <c r="O196" s="8"/>
      <c r="P196" s="8"/>
      <c r="Q196" s="8"/>
      <c r="R196" s="8"/>
      <c r="S196" s="8"/>
      <c r="T196" s="8"/>
      <c r="U196" s="8"/>
      <c r="V196" s="8"/>
      <c r="W196" s="8"/>
      <c r="X196" s="8"/>
      <c r="Y196" s="8"/>
      <c r="Z196" s="8"/>
    </row>
    <row r="197" spans="1:26" ht="12.75" customHeight="1" x14ac:dyDescent="0.3">
      <c r="A197" s="8"/>
      <c r="B197" s="31"/>
      <c r="C197" s="32"/>
      <c r="D197" s="32"/>
      <c r="E197" s="32"/>
      <c r="F197" s="32"/>
      <c r="G197" s="8"/>
      <c r="H197" s="8"/>
      <c r="I197" s="8"/>
      <c r="J197" s="8"/>
      <c r="K197" s="8"/>
      <c r="L197" s="8"/>
      <c r="M197" s="8"/>
      <c r="N197" s="8"/>
      <c r="O197" s="8"/>
      <c r="P197" s="8"/>
      <c r="Q197" s="8"/>
      <c r="R197" s="8"/>
      <c r="S197" s="8"/>
      <c r="T197" s="8"/>
      <c r="U197" s="8"/>
      <c r="V197" s="8"/>
      <c r="W197" s="8"/>
      <c r="X197" s="8"/>
      <c r="Y197" s="8"/>
      <c r="Z197" s="8"/>
    </row>
    <row r="198" spans="1:26" ht="12.75" customHeight="1" x14ac:dyDescent="0.3">
      <c r="A198" s="8"/>
      <c r="B198" s="31"/>
      <c r="C198" s="32"/>
      <c r="D198" s="32"/>
      <c r="E198" s="32"/>
      <c r="F198" s="32"/>
      <c r="G198" s="8"/>
      <c r="H198" s="8"/>
      <c r="I198" s="8"/>
      <c r="J198" s="8"/>
      <c r="K198" s="8"/>
      <c r="L198" s="8"/>
      <c r="M198" s="8"/>
      <c r="N198" s="8"/>
      <c r="O198" s="8"/>
      <c r="P198" s="8"/>
      <c r="Q198" s="8"/>
      <c r="R198" s="8"/>
      <c r="S198" s="8"/>
      <c r="T198" s="8"/>
      <c r="U198" s="8"/>
      <c r="V198" s="8"/>
      <c r="W198" s="8"/>
      <c r="X198" s="8"/>
      <c r="Y198" s="8"/>
      <c r="Z198" s="8"/>
    </row>
    <row r="199" spans="1:26" ht="12.75" customHeight="1" x14ac:dyDescent="0.3">
      <c r="A199" s="8"/>
      <c r="B199" s="31"/>
      <c r="C199" s="32"/>
      <c r="D199" s="32"/>
      <c r="E199" s="32"/>
      <c r="F199" s="32"/>
      <c r="G199" s="8"/>
      <c r="H199" s="8"/>
      <c r="I199" s="8"/>
      <c r="J199" s="8"/>
      <c r="K199" s="8"/>
      <c r="L199" s="8"/>
      <c r="M199" s="8"/>
      <c r="N199" s="8"/>
      <c r="O199" s="8"/>
      <c r="P199" s="8"/>
      <c r="Q199" s="8"/>
      <c r="R199" s="8"/>
      <c r="S199" s="8"/>
      <c r="T199" s="8"/>
      <c r="U199" s="8"/>
      <c r="V199" s="8"/>
      <c r="W199" s="8"/>
      <c r="X199" s="8"/>
      <c r="Y199" s="8"/>
      <c r="Z199" s="8"/>
    </row>
    <row r="200" spans="1:26" ht="12.75" customHeight="1" x14ac:dyDescent="0.3">
      <c r="A200" s="8"/>
      <c r="B200" s="31"/>
      <c r="C200" s="32"/>
      <c r="D200" s="32"/>
      <c r="E200" s="32"/>
      <c r="F200" s="32"/>
      <c r="G200" s="8"/>
      <c r="H200" s="8"/>
      <c r="I200" s="8"/>
      <c r="J200" s="8"/>
      <c r="K200" s="8"/>
      <c r="L200" s="8"/>
      <c r="M200" s="8"/>
      <c r="N200" s="8"/>
      <c r="O200" s="8"/>
      <c r="P200" s="8"/>
      <c r="Q200" s="8"/>
      <c r="R200" s="8"/>
      <c r="S200" s="8"/>
      <c r="T200" s="8"/>
      <c r="U200" s="8"/>
      <c r="V200" s="8"/>
      <c r="W200" s="8"/>
      <c r="X200" s="8"/>
      <c r="Y200" s="8"/>
      <c r="Z200" s="8"/>
    </row>
    <row r="201" spans="1:26" ht="12.75" customHeight="1" x14ac:dyDescent="0.3">
      <c r="A201" s="8"/>
      <c r="B201" s="31"/>
      <c r="C201" s="32"/>
      <c r="D201" s="32"/>
      <c r="E201" s="32"/>
      <c r="F201" s="32"/>
      <c r="G201" s="8"/>
      <c r="H201" s="8"/>
      <c r="I201" s="8"/>
      <c r="J201" s="8"/>
      <c r="K201" s="8"/>
      <c r="L201" s="8"/>
      <c r="M201" s="8"/>
      <c r="N201" s="8"/>
      <c r="O201" s="8"/>
      <c r="P201" s="8"/>
      <c r="Q201" s="8"/>
      <c r="R201" s="8"/>
      <c r="S201" s="8"/>
      <c r="T201" s="8"/>
      <c r="U201" s="8"/>
      <c r="V201" s="8"/>
      <c r="W201" s="8"/>
      <c r="X201" s="8"/>
      <c r="Y201" s="8"/>
      <c r="Z201" s="8"/>
    </row>
    <row r="202" spans="1:26" ht="12.75" customHeight="1" x14ac:dyDescent="0.3">
      <c r="A202" s="8"/>
      <c r="B202" s="31"/>
      <c r="C202" s="32"/>
      <c r="D202" s="32"/>
      <c r="E202" s="32"/>
      <c r="F202" s="32"/>
      <c r="G202" s="8"/>
      <c r="H202" s="8"/>
      <c r="I202" s="8"/>
      <c r="J202" s="8"/>
      <c r="K202" s="8"/>
      <c r="L202" s="8"/>
      <c r="M202" s="8"/>
      <c r="N202" s="8"/>
      <c r="O202" s="8"/>
      <c r="P202" s="8"/>
      <c r="Q202" s="8"/>
      <c r="R202" s="8"/>
      <c r="S202" s="8"/>
      <c r="T202" s="8"/>
      <c r="U202" s="8"/>
      <c r="V202" s="8"/>
      <c r="W202" s="8"/>
      <c r="X202" s="8"/>
      <c r="Y202" s="8"/>
      <c r="Z202" s="8"/>
    </row>
    <row r="203" spans="1:26" ht="12.75" customHeight="1" x14ac:dyDescent="0.3">
      <c r="A203" s="8"/>
      <c r="B203" s="31"/>
      <c r="C203" s="32"/>
      <c r="D203" s="32"/>
      <c r="E203" s="32"/>
      <c r="F203" s="32"/>
      <c r="G203" s="8"/>
      <c r="H203" s="8"/>
      <c r="I203" s="8"/>
      <c r="J203" s="8"/>
      <c r="K203" s="8"/>
      <c r="L203" s="8"/>
      <c r="M203" s="8"/>
      <c r="N203" s="8"/>
      <c r="O203" s="8"/>
      <c r="P203" s="8"/>
      <c r="Q203" s="8"/>
      <c r="R203" s="8"/>
      <c r="S203" s="8"/>
      <c r="T203" s="8"/>
      <c r="U203" s="8"/>
      <c r="V203" s="8"/>
      <c r="W203" s="8"/>
      <c r="X203" s="8"/>
      <c r="Y203" s="8"/>
      <c r="Z203" s="8"/>
    </row>
    <row r="204" spans="1:26" ht="12.75" customHeight="1" x14ac:dyDescent="0.3">
      <c r="A204" s="8"/>
      <c r="B204" s="31"/>
      <c r="C204" s="32"/>
      <c r="D204" s="32"/>
      <c r="E204" s="32"/>
      <c r="F204" s="32"/>
      <c r="G204" s="8"/>
      <c r="H204" s="8"/>
      <c r="I204" s="8"/>
      <c r="J204" s="8"/>
      <c r="K204" s="8"/>
      <c r="L204" s="8"/>
      <c r="M204" s="8"/>
      <c r="N204" s="8"/>
      <c r="O204" s="8"/>
      <c r="P204" s="8"/>
      <c r="Q204" s="8"/>
      <c r="R204" s="8"/>
      <c r="S204" s="8"/>
      <c r="T204" s="8"/>
      <c r="U204" s="8"/>
      <c r="V204" s="8"/>
      <c r="W204" s="8"/>
      <c r="X204" s="8"/>
      <c r="Y204" s="8"/>
      <c r="Z204" s="8"/>
    </row>
    <row r="205" spans="1:26" ht="12.75" customHeight="1" x14ac:dyDescent="0.3">
      <c r="A205" s="8"/>
      <c r="B205" s="31"/>
      <c r="C205" s="32"/>
      <c r="D205" s="32"/>
      <c r="E205" s="32"/>
      <c r="F205" s="32"/>
      <c r="G205" s="8"/>
      <c r="H205" s="8"/>
      <c r="I205" s="8"/>
      <c r="J205" s="8"/>
      <c r="K205" s="8"/>
      <c r="L205" s="8"/>
      <c r="M205" s="8"/>
      <c r="N205" s="8"/>
      <c r="O205" s="8"/>
      <c r="P205" s="8"/>
      <c r="Q205" s="8"/>
      <c r="R205" s="8"/>
      <c r="S205" s="8"/>
      <c r="T205" s="8"/>
      <c r="U205" s="8"/>
      <c r="V205" s="8"/>
      <c r="W205" s="8"/>
      <c r="X205" s="8"/>
      <c r="Y205" s="8"/>
      <c r="Z205" s="8"/>
    </row>
    <row r="206" spans="1:26" ht="12.75" customHeight="1" x14ac:dyDescent="0.3">
      <c r="A206" s="8"/>
      <c r="B206" s="31"/>
      <c r="C206" s="32"/>
      <c r="D206" s="32"/>
      <c r="E206" s="32"/>
      <c r="F206" s="32"/>
      <c r="G206" s="8"/>
      <c r="H206" s="8"/>
      <c r="I206" s="8"/>
      <c r="J206" s="8"/>
      <c r="K206" s="8"/>
      <c r="L206" s="8"/>
      <c r="M206" s="8"/>
      <c r="N206" s="8"/>
      <c r="O206" s="8"/>
      <c r="P206" s="8"/>
      <c r="Q206" s="8"/>
      <c r="R206" s="8"/>
      <c r="S206" s="8"/>
      <c r="T206" s="8"/>
      <c r="U206" s="8"/>
      <c r="V206" s="8"/>
      <c r="W206" s="8"/>
      <c r="X206" s="8"/>
      <c r="Y206" s="8"/>
      <c r="Z206" s="8"/>
    </row>
    <row r="207" spans="1:26" ht="12.75" customHeight="1" x14ac:dyDescent="0.3">
      <c r="A207" s="8"/>
      <c r="B207" s="31"/>
      <c r="C207" s="32"/>
      <c r="D207" s="32"/>
      <c r="E207" s="32"/>
      <c r="F207" s="32"/>
      <c r="G207" s="8"/>
      <c r="H207" s="8"/>
      <c r="I207" s="8"/>
      <c r="J207" s="8"/>
      <c r="K207" s="8"/>
      <c r="L207" s="8"/>
      <c r="M207" s="8"/>
      <c r="N207" s="8"/>
      <c r="O207" s="8"/>
      <c r="P207" s="8"/>
      <c r="Q207" s="8"/>
      <c r="R207" s="8"/>
      <c r="S207" s="8"/>
      <c r="T207" s="8"/>
      <c r="U207" s="8"/>
      <c r="V207" s="8"/>
      <c r="W207" s="8"/>
      <c r="X207" s="8"/>
      <c r="Y207" s="8"/>
      <c r="Z207" s="8"/>
    </row>
    <row r="208" spans="1:26" ht="12.75" customHeight="1" x14ac:dyDescent="0.3">
      <c r="A208" s="8"/>
      <c r="B208" s="31"/>
      <c r="C208" s="32"/>
      <c r="D208" s="32"/>
      <c r="E208" s="32"/>
      <c r="F208" s="32"/>
      <c r="G208" s="8"/>
      <c r="H208" s="8"/>
      <c r="I208" s="8"/>
      <c r="J208" s="8"/>
      <c r="K208" s="8"/>
      <c r="L208" s="8"/>
      <c r="M208" s="8"/>
      <c r="N208" s="8"/>
      <c r="O208" s="8"/>
      <c r="P208" s="8"/>
      <c r="Q208" s="8"/>
      <c r="R208" s="8"/>
      <c r="S208" s="8"/>
      <c r="T208" s="8"/>
      <c r="U208" s="8"/>
      <c r="V208" s="8"/>
      <c r="W208" s="8"/>
      <c r="X208" s="8"/>
      <c r="Y208" s="8"/>
      <c r="Z208" s="8"/>
    </row>
    <row r="209" spans="1:26" ht="12.75" customHeight="1" x14ac:dyDescent="0.3">
      <c r="A209" s="8"/>
      <c r="B209" s="31"/>
      <c r="C209" s="32"/>
      <c r="D209" s="32"/>
      <c r="E209" s="32"/>
      <c r="F209" s="32"/>
      <c r="G209" s="8"/>
      <c r="H209" s="8"/>
      <c r="I209" s="8"/>
      <c r="J209" s="8"/>
      <c r="K209" s="8"/>
      <c r="L209" s="8"/>
      <c r="M209" s="8"/>
      <c r="N209" s="8"/>
      <c r="O209" s="8"/>
      <c r="P209" s="8"/>
      <c r="Q209" s="8"/>
      <c r="R209" s="8"/>
      <c r="S209" s="8"/>
      <c r="T209" s="8"/>
      <c r="U209" s="8"/>
      <c r="V209" s="8"/>
      <c r="W209" s="8"/>
      <c r="X209" s="8"/>
      <c r="Y209" s="8"/>
      <c r="Z209" s="8"/>
    </row>
    <row r="210" spans="1:26" ht="12.75" customHeight="1" x14ac:dyDescent="0.3">
      <c r="A210" s="8"/>
      <c r="B210" s="31"/>
      <c r="C210" s="32"/>
      <c r="D210" s="32"/>
      <c r="E210" s="32"/>
      <c r="F210" s="32"/>
      <c r="G210" s="8"/>
      <c r="H210" s="8"/>
      <c r="I210" s="8"/>
      <c r="J210" s="8"/>
      <c r="K210" s="8"/>
      <c r="L210" s="8"/>
      <c r="M210" s="8"/>
      <c r="N210" s="8"/>
      <c r="O210" s="8"/>
      <c r="P210" s="8"/>
      <c r="Q210" s="8"/>
      <c r="R210" s="8"/>
      <c r="S210" s="8"/>
      <c r="T210" s="8"/>
      <c r="U210" s="8"/>
      <c r="V210" s="8"/>
      <c r="W210" s="8"/>
      <c r="X210" s="8"/>
      <c r="Y210" s="8"/>
      <c r="Z210" s="8"/>
    </row>
    <row r="211" spans="1:26" ht="12.75" customHeight="1" x14ac:dyDescent="0.3">
      <c r="A211" s="8"/>
      <c r="B211" s="31"/>
      <c r="C211" s="32"/>
      <c r="D211" s="32"/>
      <c r="E211" s="32"/>
      <c r="F211" s="32"/>
      <c r="G211" s="8"/>
      <c r="H211" s="8"/>
      <c r="I211" s="8"/>
      <c r="J211" s="8"/>
      <c r="K211" s="8"/>
      <c r="L211" s="8"/>
      <c r="M211" s="8"/>
      <c r="N211" s="8"/>
      <c r="O211" s="8"/>
      <c r="P211" s="8"/>
      <c r="Q211" s="8"/>
      <c r="R211" s="8"/>
      <c r="S211" s="8"/>
      <c r="T211" s="8"/>
      <c r="U211" s="8"/>
      <c r="V211" s="8"/>
      <c r="W211" s="8"/>
      <c r="X211" s="8"/>
      <c r="Y211" s="8"/>
      <c r="Z211" s="8"/>
    </row>
    <row r="212" spans="1:26" ht="12.75" customHeight="1" x14ac:dyDescent="0.3">
      <c r="A212" s="8"/>
      <c r="B212" s="31"/>
      <c r="C212" s="32"/>
      <c r="D212" s="32"/>
      <c r="E212" s="32"/>
      <c r="F212" s="32"/>
      <c r="G212" s="8"/>
      <c r="H212" s="8"/>
      <c r="I212" s="8"/>
      <c r="J212" s="8"/>
      <c r="K212" s="8"/>
      <c r="L212" s="8"/>
      <c r="M212" s="8"/>
      <c r="N212" s="8"/>
      <c r="O212" s="8"/>
      <c r="P212" s="8"/>
      <c r="Q212" s="8"/>
      <c r="R212" s="8"/>
      <c r="S212" s="8"/>
      <c r="T212" s="8"/>
      <c r="U212" s="8"/>
      <c r="V212" s="8"/>
      <c r="W212" s="8"/>
      <c r="X212" s="8"/>
      <c r="Y212" s="8"/>
      <c r="Z212" s="8"/>
    </row>
    <row r="213" spans="1:26" ht="12.75" customHeight="1" x14ac:dyDescent="0.3">
      <c r="A213" s="8"/>
      <c r="B213" s="31"/>
      <c r="C213" s="32"/>
      <c r="D213" s="32"/>
      <c r="E213" s="32"/>
      <c r="F213" s="32"/>
      <c r="G213" s="8"/>
      <c r="H213" s="8"/>
      <c r="I213" s="8"/>
      <c r="J213" s="8"/>
      <c r="K213" s="8"/>
      <c r="L213" s="8"/>
      <c r="M213" s="8"/>
      <c r="N213" s="8"/>
      <c r="O213" s="8"/>
      <c r="P213" s="8"/>
      <c r="Q213" s="8"/>
      <c r="R213" s="8"/>
      <c r="S213" s="8"/>
      <c r="T213" s="8"/>
      <c r="U213" s="8"/>
      <c r="V213" s="8"/>
      <c r="W213" s="8"/>
      <c r="X213" s="8"/>
      <c r="Y213" s="8"/>
      <c r="Z213" s="8"/>
    </row>
    <row r="214" spans="1:26" ht="12.75" customHeight="1" x14ac:dyDescent="0.3">
      <c r="A214" s="8"/>
      <c r="B214" s="31"/>
      <c r="C214" s="32"/>
      <c r="D214" s="32"/>
      <c r="E214" s="32"/>
      <c r="F214" s="32"/>
      <c r="G214" s="8"/>
      <c r="H214" s="8"/>
      <c r="I214" s="8"/>
      <c r="J214" s="8"/>
      <c r="K214" s="8"/>
      <c r="L214" s="8"/>
      <c r="M214" s="8"/>
      <c r="N214" s="8"/>
      <c r="O214" s="8"/>
      <c r="P214" s="8"/>
      <c r="Q214" s="8"/>
      <c r="R214" s="8"/>
      <c r="S214" s="8"/>
      <c r="T214" s="8"/>
      <c r="U214" s="8"/>
      <c r="V214" s="8"/>
      <c r="W214" s="8"/>
      <c r="X214" s="8"/>
      <c r="Y214" s="8"/>
      <c r="Z214" s="8"/>
    </row>
    <row r="215" spans="1:26" ht="12.75" customHeight="1" x14ac:dyDescent="0.3">
      <c r="A215" s="8"/>
      <c r="B215" s="31"/>
      <c r="C215" s="32"/>
      <c r="D215" s="32"/>
      <c r="E215" s="32"/>
      <c r="F215" s="32"/>
      <c r="G215" s="8"/>
      <c r="H215" s="8"/>
      <c r="I215" s="8"/>
      <c r="J215" s="8"/>
      <c r="K215" s="8"/>
      <c r="L215" s="8"/>
      <c r="M215" s="8"/>
      <c r="N215" s="8"/>
      <c r="O215" s="8"/>
      <c r="P215" s="8"/>
      <c r="Q215" s="8"/>
      <c r="R215" s="8"/>
      <c r="S215" s="8"/>
      <c r="T215" s="8"/>
      <c r="U215" s="8"/>
      <c r="V215" s="8"/>
      <c r="W215" s="8"/>
      <c r="X215" s="8"/>
      <c r="Y215" s="8"/>
      <c r="Z215" s="8"/>
    </row>
    <row r="216" spans="1:26" ht="12.75" customHeight="1" x14ac:dyDescent="0.3">
      <c r="A216" s="8"/>
      <c r="B216" s="31"/>
      <c r="C216" s="32"/>
      <c r="D216" s="32"/>
      <c r="E216" s="32"/>
      <c r="F216" s="32"/>
      <c r="G216" s="8"/>
      <c r="H216" s="8"/>
      <c r="I216" s="8"/>
      <c r="J216" s="8"/>
      <c r="K216" s="8"/>
      <c r="L216" s="8"/>
      <c r="M216" s="8"/>
      <c r="N216" s="8"/>
      <c r="O216" s="8"/>
      <c r="P216" s="8"/>
      <c r="Q216" s="8"/>
      <c r="R216" s="8"/>
      <c r="S216" s="8"/>
      <c r="T216" s="8"/>
      <c r="U216" s="8"/>
      <c r="V216" s="8"/>
      <c r="W216" s="8"/>
      <c r="X216" s="8"/>
      <c r="Y216" s="8"/>
      <c r="Z216" s="8"/>
    </row>
    <row r="217" spans="1:26" ht="12.75" customHeight="1" x14ac:dyDescent="0.3">
      <c r="A217" s="8"/>
      <c r="B217" s="31"/>
      <c r="C217" s="32"/>
      <c r="D217" s="32"/>
      <c r="E217" s="32"/>
      <c r="F217" s="32"/>
      <c r="G217" s="8"/>
      <c r="H217" s="8"/>
      <c r="I217" s="8"/>
      <c r="J217" s="8"/>
      <c r="K217" s="8"/>
      <c r="L217" s="8"/>
      <c r="M217" s="8"/>
      <c r="N217" s="8"/>
      <c r="O217" s="8"/>
      <c r="P217" s="8"/>
      <c r="Q217" s="8"/>
      <c r="R217" s="8"/>
      <c r="S217" s="8"/>
      <c r="T217" s="8"/>
      <c r="U217" s="8"/>
      <c r="V217" s="8"/>
      <c r="W217" s="8"/>
      <c r="X217" s="8"/>
      <c r="Y217" s="8"/>
      <c r="Z217" s="8"/>
    </row>
    <row r="218" spans="1:26" ht="12.75" customHeight="1" x14ac:dyDescent="0.3">
      <c r="A218" s="8"/>
      <c r="B218" s="31"/>
      <c r="C218" s="32"/>
      <c r="D218" s="32"/>
      <c r="E218" s="32"/>
      <c r="F218" s="32"/>
      <c r="G218" s="8"/>
      <c r="H218" s="8"/>
      <c r="I218" s="8"/>
      <c r="J218" s="8"/>
      <c r="K218" s="8"/>
      <c r="L218" s="8"/>
      <c r="M218" s="8"/>
      <c r="N218" s="8"/>
      <c r="O218" s="8"/>
      <c r="P218" s="8"/>
      <c r="Q218" s="8"/>
      <c r="R218" s="8"/>
      <c r="S218" s="8"/>
      <c r="T218" s="8"/>
      <c r="U218" s="8"/>
      <c r="V218" s="8"/>
      <c r="W218" s="8"/>
      <c r="X218" s="8"/>
      <c r="Y218" s="8"/>
      <c r="Z218" s="8"/>
    </row>
    <row r="219" spans="1:26" ht="12.75" customHeight="1" x14ac:dyDescent="0.3">
      <c r="A219" s="8"/>
      <c r="B219" s="31"/>
      <c r="C219" s="32"/>
      <c r="D219" s="32"/>
      <c r="E219" s="32"/>
      <c r="F219" s="32"/>
      <c r="G219" s="8"/>
      <c r="H219" s="8"/>
      <c r="I219" s="8"/>
      <c r="J219" s="8"/>
      <c r="K219" s="8"/>
      <c r="L219" s="8"/>
      <c r="M219" s="8"/>
      <c r="N219" s="8"/>
      <c r="O219" s="8"/>
      <c r="P219" s="8"/>
      <c r="Q219" s="8"/>
      <c r="R219" s="8"/>
      <c r="S219" s="8"/>
      <c r="T219" s="8"/>
      <c r="U219" s="8"/>
      <c r="V219" s="8"/>
      <c r="W219" s="8"/>
      <c r="X219" s="8"/>
      <c r="Y219" s="8"/>
      <c r="Z219" s="8"/>
    </row>
    <row r="220" spans="1:26" ht="12.75" customHeight="1" x14ac:dyDescent="0.3">
      <c r="A220" s="8"/>
      <c r="B220" s="31"/>
      <c r="C220" s="32"/>
      <c r="D220" s="32"/>
      <c r="E220" s="32"/>
      <c r="F220" s="32"/>
      <c r="G220" s="8"/>
      <c r="H220" s="8"/>
      <c r="I220" s="8"/>
      <c r="J220" s="8"/>
      <c r="K220" s="8"/>
      <c r="L220" s="8"/>
      <c r="M220" s="8"/>
      <c r="N220" s="8"/>
      <c r="O220" s="8"/>
      <c r="P220" s="8"/>
      <c r="Q220" s="8"/>
      <c r="R220" s="8"/>
      <c r="S220" s="8"/>
      <c r="T220" s="8"/>
      <c r="U220" s="8"/>
      <c r="V220" s="8"/>
      <c r="W220" s="8"/>
      <c r="X220" s="8"/>
      <c r="Y220" s="8"/>
      <c r="Z220" s="8"/>
    </row>
    <row r="221" spans="1:26" ht="14.25" customHeight="1" x14ac:dyDescent="0.3"/>
    <row r="222" spans="1:26" ht="14.25" customHeight="1" x14ac:dyDescent="0.3"/>
    <row r="223" spans="1:26" ht="14.25" customHeight="1" x14ac:dyDescent="0.3"/>
    <row r="224" spans="1:26"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6">
    <mergeCell ref="B3:C3"/>
    <mergeCell ref="D3:F3"/>
    <mergeCell ref="B4:C4"/>
    <mergeCell ref="D4:F4"/>
    <mergeCell ref="B5:C5"/>
    <mergeCell ref="D5:F5"/>
  </mergeCells>
  <hyperlinks>
    <hyperlink ref="D9" location="'Register-Login-Logout'!A1" display="Register-Login-Logout"/>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3" width="30" style="1" customWidth="1"/>
    <col min="4" max="4" width="70" style="1" customWidth="1"/>
    <col min="5" max="5" width="12.33203125" style="1" customWidth="1"/>
    <col min="6" max="6" width="31.44140625" style="1" customWidth="1"/>
    <col min="7" max="26" width="9.109375" style="1" customWidth="1"/>
  </cols>
  <sheetData>
    <row r="1" spans="1:26" ht="25.5" customHeight="1" x14ac:dyDescent="0.3">
      <c r="A1" s="58" t="s">
        <v>48</v>
      </c>
      <c r="B1" s="58" t="s">
        <v>49</v>
      </c>
      <c r="C1" s="58" t="s">
        <v>50</v>
      </c>
      <c r="D1" s="58" t="s">
        <v>51</v>
      </c>
      <c r="E1" s="58" t="s">
        <v>52</v>
      </c>
      <c r="F1" s="58" t="s">
        <v>53</v>
      </c>
      <c r="G1" s="59"/>
      <c r="H1" s="59"/>
      <c r="I1" s="59"/>
      <c r="J1" s="59"/>
      <c r="K1" s="59"/>
      <c r="L1" s="59"/>
      <c r="M1" s="59"/>
      <c r="N1" s="59"/>
      <c r="O1" s="59"/>
      <c r="P1" s="59"/>
      <c r="Q1" s="59"/>
      <c r="R1" s="59"/>
      <c r="S1" s="59"/>
      <c r="T1" s="59"/>
      <c r="U1" s="59"/>
      <c r="V1" s="59"/>
      <c r="W1" s="59"/>
      <c r="X1" s="59"/>
      <c r="Y1" s="59"/>
      <c r="Z1" s="59"/>
    </row>
    <row r="2" spans="1:26" ht="12.75" customHeight="1" x14ac:dyDescent="0.3">
      <c r="A2" s="60" t="s">
        <v>54</v>
      </c>
      <c r="B2" s="60" t="s">
        <v>55</v>
      </c>
      <c r="C2" s="60" t="s">
        <v>56</v>
      </c>
      <c r="D2" s="61" t="s">
        <v>57</v>
      </c>
      <c r="E2" s="62" t="s">
        <v>58</v>
      </c>
      <c r="F2" s="61"/>
    </row>
    <row r="3" spans="1:26" ht="25.5" customHeight="1" x14ac:dyDescent="0.3">
      <c r="A3" s="60"/>
      <c r="B3" s="60"/>
      <c r="C3" s="60"/>
      <c r="D3" s="61" t="s">
        <v>59</v>
      </c>
      <c r="E3" s="62" t="s">
        <v>60</v>
      </c>
      <c r="F3" s="61"/>
    </row>
    <row r="4" spans="1:26" ht="12.75" customHeight="1" x14ac:dyDescent="0.3">
      <c r="A4" s="60"/>
      <c r="B4" s="60"/>
      <c r="C4" s="60"/>
      <c r="D4" s="61" t="s">
        <v>61</v>
      </c>
      <c r="E4" s="62" t="s">
        <v>60</v>
      </c>
      <c r="F4" s="61"/>
    </row>
    <row r="5" spans="1:26" ht="12.75" customHeight="1" x14ac:dyDescent="0.3">
      <c r="A5" s="60"/>
      <c r="B5" s="60"/>
      <c r="C5" s="60"/>
      <c r="D5" s="61" t="s">
        <v>62</v>
      </c>
      <c r="E5" s="62" t="s">
        <v>60</v>
      </c>
      <c r="F5" s="61"/>
    </row>
    <row r="6" spans="1:26" ht="12.75" customHeight="1" x14ac:dyDescent="0.3">
      <c r="A6" s="60"/>
      <c r="B6" s="60"/>
      <c r="C6" s="60"/>
      <c r="D6" s="61" t="s">
        <v>63</v>
      </c>
      <c r="E6" s="62" t="s">
        <v>58</v>
      </c>
      <c r="F6" s="61"/>
    </row>
    <row r="7" spans="1:26" ht="12.75" customHeight="1" x14ac:dyDescent="0.3">
      <c r="A7" s="60"/>
      <c r="B7" s="60"/>
      <c r="C7" s="60"/>
      <c r="D7" s="61" t="s">
        <v>64</v>
      </c>
      <c r="E7" s="62" t="s">
        <v>58</v>
      </c>
      <c r="F7" s="61"/>
    </row>
    <row r="8" spans="1:26" ht="12.75" customHeight="1" x14ac:dyDescent="0.3">
      <c r="A8" s="60"/>
      <c r="B8" s="60"/>
      <c r="C8" s="60"/>
      <c r="D8" s="61" t="s">
        <v>65</v>
      </c>
      <c r="E8" s="62" t="s">
        <v>58</v>
      </c>
      <c r="F8" s="61"/>
    </row>
    <row r="9" spans="1:26" ht="12.75" customHeight="1" x14ac:dyDescent="0.3">
      <c r="A9" s="60"/>
      <c r="B9" s="60"/>
      <c r="C9" s="60"/>
      <c r="D9" s="61" t="s">
        <v>66</v>
      </c>
      <c r="E9" s="62" t="s">
        <v>60</v>
      </c>
      <c r="F9" s="61"/>
    </row>
    <row r="10" spans="1:26" ht="51" customHeight="1" x14ac:dyDescent="0.3">
      <c r="A10" s="60"/>
      <c r="B10" s="60"/>
      <c r="C10" s="60" t="s">
        <v>67</v>
      </c>
      <c r="D10" s="61" t="s">
        <v>68</v>
      </c>
      <c r="E10" s="62" t="s">
        <v>58</v>
      </c>
      <c r="F10" s="61" t="s">
        <v>69</v>
      </c>
    </row>
    <row r="11" spans="1:26" ht="12.75" customHeight="1" x14ac:dyDescent="0.3">
      <c r="A11" s="60"/>
      <c r="B11" s="60"/>
      <c r="C11" s="60"/>
      <c r="D11" s="61" t="s">
        <v>70</v>
      </c>
      <c r="E11" s="62" t="s">
        <v>58</v>
      </c>
      <c r="F11" s="61"/>
    </row>
    <row r="12" spans="1:26" ht="12.75" customHeight="1" x14ac:dyDescent="0.3">
      <c r="A12" s="60"/>
      <c r="B12" s="60"/>
      <c r="C12" s="60"/>
      <c r="D12" s="61" t="s">
        <v>71</v>
      </c>
      <c r="E12" s="62" t="s">
        <v>58</v>
      </c>
      <c r="F12" s="61"/>
    </row>
    <row r="13" spans="1:26" ht="12.75" customHeight="1" x14ac:dyDescent="0.3">
      <c r="A13" s="60"/>
      <c r="B13" s="60"/>
      <c r="C13" s="60"/>
      <c r="D13" s="61" t="s">
        <v>72</v>
      </c>
      <c r="E13" s="62" t="s">
        <v>58</v>
      </c>
      <c r="F13" s="61"/>
    </row>
    <row r="14" spans="1:26" ht="12.75" customHeight="1" x14ac:dyDescent="0.3">
      <c r="A14" s="60"/>
      <c r="B14" s="60"/>
      <c r="C14" s="60"/>
      <c r="D14" s="61" t="s">
        <v>73</v>
      </c>
      <c r="E14" s="62" t="s">
        <v>58</v>
      </c>
      <c r="F14" s="61"/>
    </row>
    <row r="15" spans="1:26" ht="12.75" customHeight="1" x14ac:dyDescent="0.3">
      <c r="A15" s="60"/>
      <c r="B15" s="60"/>
      <c r="C15" s="60"/>
      <c r="D15" s="61" t="s">
        <v>74</v>
      </c>
      <c r="E15" s="62" t="s">
        <v>58</v>
      </c>
      <c r="F15" s="61"/>
    </row>
    <row r="16" spans="1:26" ht="12.75" customHeight="1" x14ac:dyDescent="0.3">
      <c r="A16" s="60"/>
      <c r="B16" s="60"/>
      <c r="C16" s="60"/>
      <c r="D16" s="61" t="s">
        <v>75</v>
      </c>
      <c r="E16" s="62" t="s">
        <v>58</v>
      </c>
      <c r="F16" s="61"/>
    </row>
    <row r="17" spans="1:6" ht="12.75" customHeight="1" x14ac:dyDescent="0.3">
      <c r="A17" s="60"/>
      <c r="B17" s="60"/>
      <c r="C17" s="60"/>
      <c r="D17" s="61" t="s">
        <v>76</v>
      </c>
      <c r="E17" s="62" t="s">
        <v>58</v>
      </c>
      <c r="F17" s="61"/>
    </row>
    <row r="18" spans="1:6" ht="12.75" customHeight="1" x14ac:dyDescent="0.3">
      <c r="A18" s="60"/>
      <c r="B18" s="60"/>
      <c r="C18" s="60"/>
      <c r="D18" s="61" t="s">
        <v>77</v>
      </c>
      <c r="E18" s="62" t="s">
        <v>58</v>
      </c>
      <c r="F18" s="61"/>
    </row>
    <row r="19" spans="1:6" ht="12.75" customHeight="1" x14ac:dyDescent="0.3">
      <c r="A19" s="60"/>
      <c r="B19" s="60"/>
      <c r="C19" s="60"/>
      <c r="D19" s="61" t="s">
        <v>78</v>
      </c>
      <c r="E19" s="62" t="s">
        <v>58</v>
      </c>
      <c r="F19" s="61"/>
    </row>
    <row r="20" spans="1:6" ht="12.75" customHeight="1" x14ac:dyDescent="0.3">
      <c r="A20" s="60"/>
      <c r="B20" s="60"/>
      <c r="C20" s="60"/>
      <c r="D20" s="61" t="s">
        <v>79</v>
      </c>
      <c r="E20" s="62" t="s">
        <v>58</v>
      </c>
      <c r="F20" s="61"/>
    </row>
    <row r="21" spans="1:6" ht="12.75" customHeight="1" x14ac:dyDescent="0.3">
      <c r="A21" s="60"/>
      <c r="B21" s="60"/>
      <c r="C21" s="60"/>
      <c r="D21" s="61" t="s">
        <v>80</v>
      </c>
      <c r="E21" s="62" t="s">
        <v>58</v>
      </c>
      <c r="F21" s="61"/>
    </row>
    <row r="22" spans="1:6" ht="12.75" customHeight="1" x14ac:dyDescent="0.3">
      <c r="A22" s="60"/>
      <c r="B22" s="60"/>
      <c r="C22" s="60"/>
      <c r="D22" s="61" t="s">
        <v>81</v>
      </c>
      <c r="E22" s="62" t="s">
        <v>58</v>
      </c>
      <c r="F22" s="61"/>
    </row>
    <row r="23" spans="1:6" ht="12.75" customHeight="1" x14ac:dyDescent="0.3">
      <c r="A23" s="60"/>
      <c r="B23" s="60"/>
      <c r="C23" s="60"/>
      <c r="D23" s="61" t="s">
        <v>82</v>
      </c>
      <c r="E23" s="62" t="s">
        <v>58</v>
      </c>
      <c r="F23" s="61"/>
    </row>
    <row r="24" spans="1:6" ht="12.75" customHeight="1" x14ac:dyDescent="0.3">
      <c r="A24" s="60"/>
      <c r="B24" s="60"/>
      <c r="C24" s="60" t="s">
        <v>83</v>
      </c>
      <c r="D24" s="61" t="s">
        <v>84</v>
      </c>
      <c r="E24" s="62" t="s">
        <v>58</v>
      </c>
      <c r="F24" s="61"/>
    </row>
    <row r="25" spans="1:6" ht="12.75" customHeight="1" x14ac:dyDescent="0.3">
      <c r="A25" s="60"/>
      <c r="B25" s="60"/>
      <c r="C25" s="60"/>
      <c r="D25" s="61" t="s">
        <v>85</v>
      </c>
      <c r="E25" s="62" t="s">
        <v>58</v>
      </c>
      <c r="F25" s="61"/>
    </row>
    <row r="26" spans="1:6" ht="12.75" customHeight="1" x14ac:dyDescent="0.3">
      <c r="A26" s="60"/>
      <c r="B26" s="60"/>
      <c r="C26" s="60"/>
      <c r="D26" s="61" t="s">
        <v>86</v>
      </c>
      <c r="E26" s="62" t="s">
        <v>58</v>
      </c>
      <c r="F26" s="61"/>
    </row>
    <row r="27" spans="1:6" ht="12.75" customHeight="1" x14ac:dyDescent="0.3">
      <c r="A27" s="60"/>
      <c r="B27" s="60"/>
      <c r="C27" s="60"/>
      <c r="D27" s="61" t="s">
        <v>87</v>
      </c>
      <c r="E27" s="62" t="s">
        <v>58</v>
      </c>
      <c r="F27" s="61"/>
    </row>
    <row r="28" spans="1:6" ht="12.75" customHeight="1" x14ac:dyDescent="0.3">
      <c r="A28" s="60"/>
      <c r="B28" s="60"/>
      <c r="C28" s="60"/>
      <c r="D28" s="61" t="s">
        <v>88</v>
      </c>
      <c r="E28" s="62" t="s">
        <v>58</v>
      </c>
      <c r="F28" s="61"/>
    </row>
    <row r="29" spans="1:6" ht="12.75" customHeight="1" x14ac:dyDescent="0.3">
      <c r="A29" s="60"/>
      <c r="B29" s="60"/>
      <c r="C29" s="60"/>
      <c r="D29" s="61" t="s">
        <v>89</v>
      </c>
      <c r="E29" s="62" t="s">
        <v>58</v>
      </c>
      <c r="F29" s="61"/>
    </row>
    <row r="30" spans="1:6" ht="12.75" customHeight="1" x14ac:dyDescent="0.3">
      <c r="A30" s="60"/>
      <c r="B30" s="60"/>
      <c r="C30" s="60"/>
      <c r="D30" s="61" t="s">
        <v>90</v>
      </c>
      <c r="E30" s="62" t="s">
        <v>58</v>
      </c>
      <c r="F30" s="61"/>
    </row>
    <row r="31" spans="1:6" ht="25.5" customHeight="1" x14ac:dyDescent="0.3">
      <c r="A31" s="60"/>
      <c r="B31" s="60"/>
      <c r="C31" s="60"/>
      <c r="D31" s="61" t="s">
        <v>91</v>
      </c>
      <c r="E31" s="62" t="s">
        <v>58</v>
      </c>
      <c r="F31" s="61" t="s">
        <v>92</v>
      </c>
    </row>
    <row r="32" spans="1:6" ht="12.75" customHeight="1" x14ac:dyDescent="0.3">
      <c r="A32" s="60"/>
      <c r="B32" s="60"/>
      <c r="C32" s="60"/>
      <c r="D32" s="61" t="s">
        <v>93</v>
      </c>
      <c r="E32" s="62" t="s">
        <v>58</v>
      </c>
      <c r="F32" s="61"/>
    </row>
    <row r="33" spans="1:6" ht="12.75" customHeight="1" x14ac:dyDescent="0.3">
      <c r="A33" s="60"/>
      <c r="B33" s="60"/>
      <c r="C33" s="60" t="s">
        <v>94</v>
      </c>
      <c r="D33" s="61" t="s">
        <v>95</v>
      </c>
      <c r="E33" s="62" t="s">
        <v>58</v>
      </c>
      <c r="F33" s="61"/>
    </row>
    <row r="34" spans="1:6" ht="38.25" customHeight="1" x14ac:dyDescent="0.3">
      <c r="A34" s="60"/>
      <c r="B34" s="60"/>
      <c r="C34" s="60"/>
      <c r="D34" s="61" t="s">
        <v>96</v>
      </c>
      <c r="E34" s="62" t="s">
        <v>58</v>
      </c>
      <c r="F34" s="61" t="s">
        <v>97</v>
      </c>
    </row>
    <row r="35" spans="1:6" ht="12.75" customHeight="1" x14ac:dyDescent="0.3">
      <c r="A35" s="60"/>
      <c r="B35" s="60"/>
      <c r="C35" s="60"/>
      <c r="D35" s="61" t="s">
        <v>98</v>
      </c>
      <c r="E35" s="62" t="s">
        <v>58</v>
      </c>
      <c r="F35" s="61"/>
    </row>
    <row r="36" spans="1:6" ht="12.75" customHeight="1" x14ac:dyDescent="0.3">
      <c r="A36" s="60"/>
      <c r="B36" s="60"/>
      <c r="C36" s="60"/>
      <c r="D36" s="61" t="s">
        <v>99</v>
      </c>
      <c r="E36" s="62" t="s">
        <v>58</v>
      </c>
      <c r="F36" s="61"/>
    </row>
    <row r="37" spans="1:6" ht="12.75" customHeight="1" x14ac:dyDescent="0.3">
      <c r="A37" s="60"/>
      <c r="B37" s="60"/>
      <c r="C37" s="60"/>
      <c r="D37" s="61" t="s">
        <v>100</v>
      </c>
      <c r="E37" s="62" t="s">
        <v>58</v>
      </c>
      <c r="F37" s="61"/>
    </row>
    <row r="38" spans="1:6" ht="12.75" customHeight="1" x14ac:dyDescent="0.3">
      <c r="A38" s="60"/>
      <c r="B38" s="60"/>
      <c r="C38" s="60"/>
      <c r="D38" s="61" t="s">
        <v>101</v>
      </c>
      <c r="E38" s="62" t="s">
        <v>58</v>
      </c>
      <c r="F38" s="61"/>
    </row>
    <row r="39" spans="1:6" ht="12.75" customHeight="1" x14ac:dyDescent="0.3">
      <c r="A39" s="60"/>
      <c r="B39" s="60"/>
      <c r="C39" s="60"/>
      <c r="D39" s="61" t="s">
        <v>102</v>
      </c>
      <c r="E39" s="62" t="s">
        <v>58</v>
      </c>
      <c r="F39" s="61"/>
    </row>
    <row r="40" spans="1:6" ht="12.75" customHeight="1" x14ac:dyDescent="0.3">
      <c r="A40" s="60"/>
      <c r="B40" s="60"/>
      <c r="C40" s="60"/>
      <c r="D40" s="61" t="s">
        <v>103</v>
      </c>
      <c r="E40" s="62" t="s">
        <v>58</v>
      </c>
      <c r="F40" s="61"/>
    </row>
    <row r="41" spans="1:6" ht="12.75" customHeight="1" x14ac:dyDescent="0.3">
      <c r="A41" s="60"/>
      <c r="B41" s="60"/>
      <c r="C41" s="60" t="s">
        <v>104</v>
      </c>
      <c r="D41" s="61" t="s">
        <v>105</v>
      </c>
      <c r="E41" s="62" t="s">
        <v>58</v>
      </c>
      <c r="F41" s="61"/>
    </row>
    <row r="42" spans="1:6" ht="12.75" customHeight="1" x14ac:dyDescent="0.3">
      <c r="A42" s="60"/>
      <c r="B42" s="60"/>
      <c r="C42" s="60"/>
      <c r="D42" s="61" t="s">
        <v>106</v>
      </c>
      <c r="E42" s="62" t="s">
        <v>58</v>
      </c>
      <c r="F42" s="61"/>
    </row>
    <row r="43" spans="1:6" ht="12.75" customHeight="1" x14ac:dyDescent="0.3">
      <c r="A43" s="60"/>
      <c r="B43" s="60"/>
      <c r="C43" s="60"/>
      <c r="D43" s="61" t="s">
        <v>107</v>
      </c>
      <c r="E43" s="62" t="s">
        <v>58</v>
      </c>
      <c r="F43" s="61"/>
    </row>
    <row r="44" spans="1:6" ht="12.75" customHeight="1" x14ac:dyDescent="0.3">
      <c r="A44" s="60"/>
      <c r="B44" s="60"/>
      <c r="C44" s="60"/>
      <c r="D44" s="61" t="s">
        <v>108</v>
      </c>
      <c r="E44" s="62" t="s">
        <v>58</v>
      </c>
      <c r="F44" s="61"/>
    </row>
    <row r="45" spans="1:6" ht="12.75" customHeight="1" x14ac:dyDescent="0.3">
      <c r="A45" s="60"/>
      <c r="B45" s="60"/>
      <c r="C45" s="60"/>
      <c r="D45" s="61" t="s">
        <v>109</v>
      </c>
      <c r="E45" s="62" t="s">
        <v>58</v>
      </c>
      <c r="F45" s="61"/>
    </row>
    <row r="46" spans="1:6" ht="12.75" customHeight="1" x14ac:dyDescent="0.3">
      <c r="A46" s="60"/>
      <c r="B46" s="60"/>
      <c r="C46" s="60"/>
      <c r="D46" s="61" t="s">
        <v>110</v>
      </c>
      <c r="E46" s="62" t="s">
        <v>58</v>
      </c>
      <c r="F46" s="61"/>
    </row>
    <row r="47" spans="1:6" ht="51" customHeight="1" x14ac:dyDescent="0.3">
      <c r="A47" s="60"/>
      <c r="B47" s="60"/>
      <c r="C47" s="60"/>
      <c r="D47" s="61" t="s">
        <v>111</v>
      </c>
      <c r="E47" s="62" t="s">
        <v>58</v>
      </c>
      <c r="F47" s="61" t="s">
        <v>112</v>
      </c>
    </row>
    <row r="48" spans="1:6" ht="12.75" customHeight="1" x14ac:dyDescent="0.3">
      <c r="A48" s="60"/>
      <c r="B48" s="60"/>
      <c r="C48" s="60" t="s">
        <v>113</v>
      </c>
      <c r="D48" s="61" t="s">
        <v>114</v>
      </c>
      <c r="E48" s="62" t="s">
        <v>58</v>
      </c>
      <c r="F48" s="61"/>
    </row>
    <row r="49" spans="1:6" ht="38.25" customHeight="1" x14ac:dyDescent="0.3">
      <c r="A49" s="60"/>
      <c r="B49" s="60"/>
      <c r="C49" s="60"/>
      <c r="D49" s="61" t="s">
        <v>115</v>
      </c>
      <c r="E49" s="62" t="s">
        <v>58</v>
      </c>
      <c r="F49" s="61" t="s">
        <v>116</v>
      </c>
    </row>
    <row r="50" spans="1:6" ht="12.75" customHeight="1" x14ac:dyDescent="0.3">
      <c r="A50" s="60"/>
      <c r="B50" s="60"/>
      <c r="C50" s="60"/>
      <c r="D50" s="61" t="s">
        <v>117</v>
      </c>
      <c r="E50" s="62" t="s">
        <v>58</v>
      </c>
      <c r="F50" s="61"/>
    </row>
    <row r="51" spans="1:6" ht="12.75" customHeight="1" x14ac:dyDescent="0.3">
      <c r="A51" s="60"/>
      <c r="B51" s="60"/>
      <c r="C51" s="60" t="s">
        <v>118</v>
      </c>
      <c r="D51" s="61" t="s">
        <v>119</v>
      </c>
      <c r="E51" s="62" t="s">
        <v>58</v>
      </c>
      <c r="F51" s="61"/>
    </row>
    <row r="52" spans="1:6" ht="25.5" customHeight="1" x14ac:dyDescent="0.3">
      <c r="A52" s="60"/>
      <c r="B52" s="60"/>
      <c r="C52" s="60"/>
      <c r="D52" s="61" t="s">
        <v>120</v>
      </c>
      <c r="E52" s="62" t="s">
        <v>58</v>
      </c>
      <c r="F52" s="61"/>
    </row>
    <row r="53" spans="1:6" ht="12.75" customHeight="1" x14ac:dyDescent="0.3">
      <c r="A53" s="60"/>
      <c r="B53" s="60"/>
      <c r="C53" s="60"/>
      <c r="D53" s="61" t="s">
        <v>121</v>
      </c>
      <c r="E53" s="62" t="s">
        <v>58</v>
      </c>
      <c r="F53" s="61"/>
    </row>
    <row r="54" spans="1:6" ht="25.5" customHeight="1" x14ac:dyDescent="0.3">
      <c r="A54" s="60"/>
      <c r="B54" s="60"/>
      <c r="C54" s="60"/>
      <c r="D54" s="61" t="s">
        <v>122</v>
      </c>
      <c r="E54" s="62" t="s">
        <v>58</v>
      </c>
      <c r="F54" s="61"/>
    </row>
    <row r="55" spans="1:6" ht="12.75" customHeight="1" x14ac:dyDescent="0.3">
      <c r="A55" s="60"/>
      <c r="B55" s="60"/>
      <c r="C55" s="60" t="s">
        <v>123</v>
      </c>
      <c r="D55" s="61" t="s">
        <v>124</v>
      </c>
      <c r="E55" s="62" t="s">
        <v>58</v>
      </c>
      <c r="F55" s="61"/>
    </row>
    <row r="56" spans="1:6" ht="12.75" customHeight="1" x14ac:dyDescent="0.3">
      <c r="A56" s="60"/>
      <c r="B56" s="60"/>
      <c r="C56" s="60"/>
      <c r="D56" s="61" t="s">
        <v>125</v>
      </c>
      <c r="E56" s="62" t="s">
        <v>58</v>
      </c>
      <c r="F56" s="61"/>
    </row>
    <row r="57" spans="1:6" ht="12.75" customHeight="1" x14ac:dyDescent="0.3">
      <c r="A57" s="60"/>
      <c r="B57" s="60"/>
      <c r="C57" s="60"/>
      <c r="D57" s="61" t="s">
        <v>126</v>
      </c>
      <c r="E57" s="62" t="s">
        <v>58</v>
      </c>
      <c r="F57" s="61"/>
    </row>
    <row r="58" spans="1:6" ht="12.75" customHeight="1" x14ac:dyDescent="0.3">
      <c r="A58" s="60"/>
      <c r="B58" s="60"/>
      <c r="C58" s="60"/>
      <c r="D58" s="61" t="s">
        <v>127</v>
      </c>
      <c r="E58" s="62" t="s">
        <v>58</v>
      </c>
      <c r="F58" s="61"/>
    </row>
    <row r="59" spans="1:6" ht="12.75" customHeight="1" x14ac:dyDescent="0.3">
      <c r="A59" s="60"/>
      <c r="B59" s="60"/>
      <c r="C59" s="60"/>
      <c r="D59" s="61" t="s">
        <v>128</v>
      </c>
      <c r="E59" s="62" t="s">
        <v>58</v>
      </c>
      <c r="F59" s="61"/>
    </row>
    <row r="60" spans="1:6" ht="12.75" customHeight="1" x14ac:dyDescent="0.3">
      <c r="A60" s="60"/>
      <c r="B60" s="60"/>
      <c r="C60" s="60"/>
      <c r="D60" s="61" t="s">
        <v>129</v>
      </c>
      <c r="E60" s="62" t="s">
        <v>58</v>
      </c>
      <c r="F60" s="61"/>
    </row>
    <row r="61" spans="1:6" ht="12.75" customHeight="1" x14ac:dyDescent="0.3">
      <c r="A61" s="60"/>
      <c r="B61" s="60"/>
      <c r="C61" s="60"/>
      <c r="D61" s="61" t="s">
        <v>130</v>
      </c>
      <c r="E61" s="62" t="s">
        <v>60</v>
      </c>
      <c r="F61" s="61"/>
    </row>
    <row r="62" spans="1:6" ht="12.75" customHeight="1" x14ac:dyDescent="0.3">
      <c r="A62" s="60"/>
      <c r="B62" s="60"/>
      <c r="C62" s="60" t="s">
        <v>131</v>
      </c>
      <c r="D62" s="61" t="s">
        <v>132</v>
      </c>
      <c r="E62" s="62" t="s">
        <v>58</v>
      </c>
      <c r="F62" s="61"/>
    </row>
    <row r="63" spans="1:6" ht="12.75" customHeight="1" x14ac:dyDescent="0.3">
      <c r="A63" s="60"/>
      <c r="B63" s="60"/>
      <c r="C63" s="60"/>
      <c r="D63" s="61" t="s">
        <v>133</v>
      </c>
      <c r="E63" s="62" t="s">
        <v>58</v>
      </c>
      <c r="F63" s="61"/>
    </row>
    <row r="64" spans="1:6" ht="14.25" customHeight="1" x14ac:dyDescent="0.3">
      <c r="A64" s="60"/>
      <c r="B64" s="60" t="s">
        <v>134</v>
      </c>
      <c r="C64" s="60" t="s">
        <v>56</v>
      </c>
      <c r="D64" s="61" t="s">
        <v>135</v>
      </c>
      <c r="E64" s="62" t="s">
        <v>58</v>
      </c>
      <c r="F64" s="61"/>
    </row>
    <row r="65" spans="1:6" ht="14.25" customHeight="1" x14ac:dyDescent="0.3">
      <c r="A65" s="60"/>
      <c r="B65" s="60"/>
      <c r="C65" s="60"/>
      <c r="D65" s="61" t="s">
        <v>136</v>
      </c>
      <c r="E65" s="62" t="s">
        <v>60</v>
      </c>
      <c r="F65" s="61"/>
    </row>
    <row r="66" spans="1:6" ht="14.25" customHeight="1" x14ac:dyDescent="0.3">
      <c r="A66" s="60"/>
      <c r="B66" s="60"/>
      <c r="C66" s="60"/>
      <c r="D66" s="61" t="s">
        <v>137</v>
      </c>
      <c r="E66" s="62" t="s">
        <v>58</v>
      </c>
      <c r="F66" s="61"/>
    </row>
    <row r="67" spans="1:6" ht="14.25" customHeight="1" x14ac:dyDescent="0.3">
      <c r="A67" s="60"/>
      <c r="B67" s="60"/>
      <c r="C67" s="60" t="s">
        <v>67</v>
      </c>
      <c r="D67" s="61" t="s">
        <v>138</v>
      </c>
      <c r="E67" s="62" t="s">
        <v>58</v>
      </c>
      <c r="F67" s="61"/>
    </row>
    <row r="68" spans="1:6" ht="14.25" customHeight="1" x14ac:dyDescent="0.3">
      <c r="A68" s="60"/>
      <c r="B68" s="60"/>
      <c r="C68" s="60"/>
      <c r="D68" s="61" t="s">
        <v>139</v>
      </c>
      <c r="E68" s="62" t="s">
        <v>58</v>
      </c>
      <c r="F68" s="61"/>
    </row>
    <row r="69" spans="1:6" ht="14.25" customHeight="1" x14ac:dyDescent="0.3">
      <c r="A69" s="60"/>
      <c r="B69" s="60"/>
      <c r="C69" s="60"/>
      <c r="D69" s="61" t="s">
        <v>140</v>
      </c>
      <c r="E69" s="62" t="s">
        <v>58</v>
      </c>
      <c r="F69" s="61"/>
    </row>
    <row r="70" spans="1:6" ht="14.25" customHeight="1" x14ac:dyDescent="0.3">
      <c r="A70" s="60"/>
      <c r="B70" s="60"/>
      <c r="C70" s="60"/>
      <c r="D70" s="61" t="s">
        <v>141</v>
      </c>
      <c r="E70" s="62" t="s">
        <v>58</v>
      </c>
      <c r="F70" s="61" t="s">
        <v>142</v>
      </c>
    </row>
    <row r="71" spans="1:6" ht="14.25" customHeight="1" x14ac:dyDescent="0.3">
      <c r="A71" s="60"/>
      <c r="B71" s="60"/>
      <c r="C71" s="60"/>
      <c r="D71" s="61" t="s">
        <v>143</v>
      </c>
      <c r="E71" s="62" t="s">
        <v>58</v>
      </c>
      <c r="F71" s="61"/>
    </row>
    <row r="72" spans="1:6" ht="14.25" customHeight="1" x14ac:dyDescent="0.3">
      <c r="A72" s="60"/>
      <c r="B72" s="60"/>
      <c r="C72" s="60"/>
      <c r="D72" s="61" t="s">
        <v>144</v>
      </c>
      <c r="E72" s="62" t="s">
        <v>58</v>
      </c>
      <c r="F72" s="61"/>
    </row>
    <row r="73" spans="1:6" ht="14.25" customHeight="1" x14ac:dyDescent="0.3">
      <c r="A73" s="60"/>
      <c r="B73" s="60"/>
      <c r="C73" s="60" t="s">
        <v>145</v>
      </c>
      <c r="D73" s="61" t="s">
        <v>146</v>
      </c>
      <c r="E73" s="62" t="s">
        <v>58</v>
      </c>
      <c r="F73" s="61"/>
    </row>
    <row r="74" spans="1:6" ht="14.25" customHeight="1" x14ac:dyDescent="0.3">
      <c r="A74" s="60"/>
      <c r="B74" s="60"/>
      <c r="C74" s="60"/>
      <c r="D74" s="61" t="s">
        <v>147</v>
      </c>
      <c r="E74" s="62" t="s">
        <v>58</v>
      </c>
      <c r="F74" s="61"/>
    </row>
    <row r="75" spans="1:6" ht="14.25" customHeight="1" x14ac:dyDescent="0.3">
      <c r="A75" s="60"/>
      <c r="B75" s="60"/>
      <c r="C75" s="60"/>
      <c r="D75" s="61" t="s">
        <v>86</v>
      </c>
      <c r="E75" s="62" t="s">
        <v>58</v>
      </c>
      <c r="F75" s="61"/>
    </row>
    <row r="76" spans="1:6" ht="14.25" customHeight="1" x14ac:dyDescent="0.3">
      <c r="A76" s="60"/>
      <c r="B76" s="60"/>
      <c r="C76" s="60"/>
      <c r="D76" s="61" t="s">
        <v>87</v>
      </c>
      <c r="E76" s="62" t="s">
        <v>58</v>
      </c>
      <c r="F76" s="61"/>
    </row>
    <row r="77" spans="1:6" ht="14.25" customHeight="1" x14ac:dyDescent="0.3">
      <c r="A77" s="60"/>
      <c r="B77" s="60"/>
      <c r="C77" s="60"/>
      <c r="D77" s="61" t="s">
        <v>148</v>
      </c>
      <c r="E77" s="62" t="s">
        <v>58</v>
      </c>
      <c r="F77" s="61"/>
    </row>
    <row r="78" spans="1:6" ht="14.25" customHeight="1" x14ac:dyDescent="0.3">
      <c r="A78" s="60"/>
      <c r="B78" s="60"/>
      <c r="C78" s="60"/>
      <c r="D78" s="61" t="s">
        <v>149</v>
      </c>
      <c r="E78" s="62" t="s">
        <v>58</v>
      </c>
      <c r="F78" s="61"/>
    </row>
    <row r="79" spans="1:6" ht="14.25" customHeight="1" x14ac:dyDescent="0.3">
      <c r="A79" s="60"/>
      <c r="B79" s="60"/>
      <c r="C79" s="60"/>
      <c r="D79" s="61" t="s">
        <v>150</v>
      </c>
      <c r="E79" s="62" t="s">
        <v>58</v>
      </c>
      <c r="F79" s="61"/>
    </row>
    <row r="80" spans="1:6" ht="14.25" customHeight="1" x14ac:dyDescent="0.3">
      <c r="A80" s="60"/>
      <c r="B80" s="60"/>
      <c r="C80" s="60" t="s">
        <v>123</v>
      </c>
      <c r="D80" s="61" t="s">
        <v>151</v>
      </c>
      <c r="E80" s="62" t="s">
        <v>58</v>
      </c>
      <c r="F80" s="61"/>
    </row>
    <row r="81" spans="1:6" ht="14.25" customHeight="1" x14ac:dyDescent="0.3">
      <c r="A81" s="60"/>
      <c r="B81" s="60"/>
      <c r="C81" s="60"/>
      <c r="D81" s="61" t="s">
        <v>152</v>
      </c>
      <c r="E81" s="62" t="s">
        <v>58</v>
      </c>
      <c r="F81" s="61" t="s">
        <v>153</v>
      </c>
    </row>
    <row r="82" spans="1:6" ht="14.25" customHeight="1" x14ac:dyDescent="0.3">
      <c r="A82" s="60"/>
      <c r="B82" s="60"/>
      <c r="C82" s="60" t="s">
        <v>154</v>
      </c>
      <c r="D82" s="61" t="s">
        <v>155</v>
      </c>
      <c r="E82" s="62" t="s">
        <v>58</v>
      </c>
      <c r="F82" s="61"/>
    </row>
    <row r="83" spans="1:6" ht="14.25" customHeight="1" x14ac:dyDescent="0.3">
      <c r="A83" s="60"/>
      <c r="B83" s="60" t="s">
        <v>156</v>
      </c>
      <c r="C83" s="60" t="s">
        <v>157</v>
      </c>
      <c r="D83" s="61" t="s">
        <v>158</v>
      </c>
      <c r="E83" s="62" t="s">
        <v>58</v>
      </c>
      <c r="F83" s="61"/>
    </row>
    <row r="84" spans="1:6" ht="14.25" customHeight="1" x14ac:dyDescent="0.3">
      <c r="A84" s="60"/>
      <c r="B84" s="60"/>
      <c r="C84" s="60"/>
      <c r="D84" s="61" t="s">
        <v>159</v>
      </c>
      <c r="E84" s="62" t="s">
        <v>58</v>
      </c>
      <c r="F84" s="61"/>
    </row>
    <row r="85" spans="1:6" ht="18.75" customHeight="1" x14ac:dyDescent="0.3">
      <c r="A85" s="60" t="s">
        <v>160</v>
      </c>
      <c r="B85" s="60" t="s">
        <v>161</v>
      </c>
      <c r="C85" s="60" t="s">
        <v>56</v>
      </c>
      <c r="D85" s="61" t="s">
        <v>162</v>
      </c>
      <c r="E85" s="62" t="s">
        <v>58</v>
      </c>
      <c r="F85" s="61"/>
    </row>
    <row r="86" spans="1:6" ht="18.75" customHeight="1" x14ac:dyDescent="0.3">
      <c r="A86" s="60"/>
      <c r="B86" s="60"/>
      <c r="C86" s="60"/>
      <c r="D86" s="61" t="s">
        <v>163</v>
      </c>
      <c r="E86" s="62" t="s">
        <v>58</v>
      </c>
      <c r="F86" s="61"/>
    </row>
    <row r="87" spans="1:6" ht="57" customHeight="1" x14ac:dyDescent="0.3">
      <c r="A87" s="60"/>
      <c r="B87" s="60"/>
      <c r="C87" s="60"/>
      <c r="D87" s="61" t="s">
        <v>164</v>
      </c>
      <c r="E87" s="62" t="s">
        <v>60</v>
      </c>
      <c r="F87" s="61" t="s">
        <v>165</v>
      </c>
    </row>
    <row r="88" spans="1:6" ht="18.75" customHeight="1" x14ac:dyDescent="0.3">
      <c r="A88" s="60"/>
      <c r="B88" s="60"/>
      <c r="C88" s="60"/>
      <c r="D88" s="61" t="s">
        <v>166</v>
      </c>
      <c r="E88" s="62" t="s">
        <v>60</v>
      </c>
      <c r="F88" s="61"/>
    </row>
    <row r="89" spans="1:6" ht="18.75" customHeight="1" x14ac:dyDescent="0.3">
      <c r="A89" s="60"/>
      <c r="B89" s="60"/>
      <c r="C89" s="60"/>
      <c r="D89" s="61" t="s">
        <v>167</v>
      </c>
      <c r="E89" s="62" t="s">
        <v>60</v>
      </c>
      <c r="F89" s="61"/>
    </row>
    <row r="90" spans="1:6" ht="18.75" customHeight="1" x14ac:dyDescent="0.3">
      <c r="A90" s="60"/>
      <c r="B90" s="60"/>
      <c r="C90" s="60"/>
      <c r="D90" s="61" t="s">
        <v>168</v>
      </c>
      <c r="E90" s="62" t="s">
        <v>60</v>
      </c>
      <c r="F90" s="61"/>
    </row>
    <row r="91" spans="1:6" ht="18.75" customHeight="1" x14ac:dyDescent="0.3">
      <c r="A91" s="60"/>
      <c r="B91" s="60"/>
      <c r="C91" s="60"/>
      <c r="D91" s="61" t="s">
        <v>169</v>
      </c>
      <c r="E91" s="62" t="s">
        <v>60</v>
      </c>
      <c r="F91" s="61"/>
    </row>
    <row r="92" spans="1:6" ht="18.75" customHeight="1" x14ac:dyDescent="0.3">
      <c r="A92" s="60"/>
      <c r="B92" s="60"/>
      <c r="C92" s="60"/>
      <c r="D92" s="61" t="s">
        <v>170</v>
      </c>
      <c r="E92" s="62" t="s">
        <v>60</v>
      </c>
      <c r="F92" s="61"/>
    </row>
    <row r="93" spans="1:6" ht="57" customHeight="1" x14ac:dyDescent="0.3">
      <c r="A93" s="60"/>
      <c r="B93" s="60"/>
      <c r="C93" s="60"/>
      <c r="D93" s="61" t="s">
        <v>171</v>
      </c>
      <c r="E93" s="62" t="s">
        <v>60</v>
      </c>
      <c r="F93" s="61" t="s">
        <v>172</v>
      </c>
    </row>
    <row r="94" spans="1:6" ht="57" customHeight="1" x14ac:dyDescent="0.3">
      <c r="A94" s="60"/>
      <c r="B94" s="60"/>
      <c r="C94" s="60"/>
      <c r="D94" s="61" t="s">
        <v>173</v>
      </c>
      <c r="E94" s="62" t="s">
        <v>60</v>
      </c>
      <c r="F94" s="61" t="s">
        <v>172</v>
      </c>
    </row>
    <row r="95" spans="1:6" ht="18.75" customHeight="1" x14ac:dyDescent="0.3">
      <c r="A95" s="60"/>
      <c r="B95" s="60"/>
      <c r="C95" s="60"/>
      <c r="D95" s="61" t="s">
        <v>174</v>
      </c>
      <c r="E95" s="62" t="s">
        <v>60</v>
      </c>
      <c r="F95" s="61"/>
    </row>
    <row r="96" spans="1:6" ht="57" customHeight="1" x14ac:dyDescent="0.3">
      <c r="A96" s="60"/>
      <c r="B96" s="60"/>
      <c r="C96" s="60" t="s">
        <v>175</v>
      </c>
      <c r="D96" s="61" t="s">
        <v>176</v>
      </c>
      <c r="E96" s="62" t="s">
        <v>58</v>
      </c>
      <c r="F96" s="61" t="s">
        <v>172</v>
      </c>
    </row>
    <row r="97" spans="1:6" ht="69.75" customHeight="1" x14ac:dyDescent="0.3">
      <c r="A97" s="60"/>
      <c r="B97" s="60"/>
      <c r="C97" s="60"/>
      <c r="D97" s="61" t="s">
        <v>177</v>
      </c>
      <c r="E97" s="62" t="s">
        <v>58</v>
      </c>
      <c r="F97" s="61" t="s">
        <v>178</v>
      </c>
    </row>
    <row r="98" spans="1:6" ht="31.5" customHeight="1" x14ac:dyDescent="0.3">
      <c r="A98" s="60"/>
      <c r="B98" s="60"/>
      <c r="C98" s="60"/>
      <c r="D98" s="61" t="s">
        <v>179</v>
      </c>
      <c r="E98" s="62" t="s">
        <v>58</v>
      </c>
      <c r="F98" s="61" t="s">
        <v>180</v>
      </c>
    </row>
    <row r="99" spans="1:6" ht="57" customHeight="1" x14ac:dyDescent="0.3">
      <c r="A99" s="60"/>
      <c r="B99" s="60"/>
      <c r="C99" s="60"/>
      <c r="D99" s="61" t="s">
        <v>181</v>
      </c>
      <c r="E99" s="62" t="s">
        <v>58</v>
      </c>
      <c r="F99" s="61" t="s">
        <v>172</v>
      </c>
    </row>
    <row r="100" spans="1:6" ht="18.75" customHeight="1" x14ac:dyDescent="0.3">
      <c r="A100" s="60"/>
      <c r="B100" s="60"/>
      <c r="C100" s="60"/>
      <c r="D100" s="61" t="s">
        <v>182</v>
      </c>
      <c r="E100" s="62" t="s">
        <v>58</v>
      </c>
      <c r="F100" s="61"/>
    </row>
    <row r="101" spans="1:6" ht="31.5" customHeight="1" x14ac:dyDescent="0.3">
      <c r="A101" s="60"/>
      <c r="B101" s="60"/>
      <c r="C101" s="60"/>
      <c r="D101" s="61" t="s">
        <v>183</v>
      </c>
      <c r="E101" s="62" t="s">
        <v>60</v>
      </c>
      <c r="F101" s="61" t="s">
        <v>184</v>
      </c>
    </row>
    <row r="102" spans="1:6" ht="57" customHeight="1" x14ac:dyDescent="0.3">
      <c r="A102" s="60"/>
      <c r="B102" s="60"/>
      <c r="C102" s="60"/>
      <c r="D102" s="61" t="s">
        <v>185</v>
      </c>
      <c r="E102" s="62" t="s">
        <v>58</v>
      </c>
      <c r="F102" s="61" t="s">
        <v>172</v>
      </c>
    </row>
    <row r="103" spans="1:6" ht="57" customHeight="1" x14ac:dyDescent="0.3">
      <c r="A103" s="60"/>
      <c r="B103" s="60"/>
      <c r="C103" s="60"/>
      <c r="D103" s="61" t="s">
        <v>186</v>
      </c>
      <c r="E103" s="62" t="s">
        <v>58</v>
      </c>
      <c r="F103" s="61" t="s">
        <v>172</v>
      </c>
    </row>
    <row r="104" spans="1:6" ht="57" customHeight="1" x14ac:dyDescent="0.3">
      <c r="A104" s="60"/>
      <c r="B104" s="60"/>
      <c r="C104" s="60"/>
      <c r="D104" s="61" t="s">
        <v>187</v>
      </c>
      <c r="E104" s="62" t="s">
        <v>58</v>
      </c>
      <c r="F104" s="61" t="s">
        <v>172</v>
      </c>
    </row>
    <row r="105" spans="1:6" ht="57" customHeight="1" x14ac:dyDescent="0.3">
      <c r="A105" s="60"/>
      <c r="B105" s="60"/>
      <c r="C105" s="60"/>
      <c r="D105" s="61" t="s">
        <v>188</v>
      </c>
      <c r="E105" s="62" t="s">
        <v>58</v>
      </c>
      <c r="F105" s="61" t="s">
        <v>172</v>
      </c>
    </row>
    <row r="106" spans="1:6" ht="82.5" customHeight="1" x14ac:dyDescent="0.3">
      <c r="A106" s="60"/>
      <c r="B106" s="60"/>
      <c r="C106" s="60"/>
      <c r="D106" s="61" t="s">
        <v>189</v>
      </c>
      <c r="E106" s="62" t="s">
        <v>58</v>
      </c>
      <c r="F106" s="61" t="s">
        <v>190</v>
      </c>
    </row>
    <row r="107" spans="1:6" ht="82.5" customHeight="1" x14ac:dyDescent="0.3">
      <c r="A107" s="60"/>
      <c r="B107" s="60"/>
      <c r="C107" s="60"/>
      <c r="D107" s="61" t="s">
        <v>191</v>
      </c>
      <c r="E107" s="62" t="s">
        <v>58</v>
      </c>
      <c r="F107" s="61" t="s">
        <v>192</v>
      </c>
    </row>
    <row r="108" spans="1:6" ht="57" customHeight="1" x14ac:dyDescent="0.3">
      <c r="A108" s="60"/>
      <c r="B108" s="60"/>
      <c r="C108" s="60"/>
      <c r="D108" s="61" t="s">
        <v>193</v>
      </c>
      <c r="E108" s="62" t="s">
        <v>58</v>
      </c>
      <c r="F108" s="61" t="s">
        <v>172</v>
      </c>
    </row>
    <row r="109" spans="1:6" ht="44.25" customHeight="1" x14ac:dyDescent="0.3">
      <c r="A109" s="60"/>
      <c r="B109" s="60"/>
      <c r="C109" s="60"/>
      <c r="D109" s="61" t="s">
        <v>194</v>
      </c>
      <c r="E109" s="62" t="s">
        <v>58</v>
      </c>
      <c r="F109" s="61" t="s">
        <v>195</v>
      </c>
    </row>
    <row r="110" spans="1:6" ht="82.5" customHeight="1" x14ac:dyDescent="0.3">
      <c r="A110" s="60"/>
      <c r="B110" s="60"/>
      <c r="C110" s="60"/>
      <c r="D110" s="61" t="s">
        <v>196</v>
      </c>
      <c r="E110" s="62" t="s">
        <v>58</v>
      </c>
      <c r="F110" s="61" t="s">
        <v>197</v>
      </c>
    </row>
    <row r="111" spans="1:6" ht="57" customHeight="1" x14ac:dyDescent="0.3">
      <c r="A111" s="60"/>
      <c r="B111" s="60"/>
      <c r="C111" s="60"/>
      <c r="D111" s="61" t="s">
        <v>198</v>
      </c>
      <c r="E111" s="62" t="s">
        <v>58</v>
      </c>
      <c r="F111" s="61" t="s">
        <v>172</v>
      </c>
    </row>
    <row r="112" spans="1:6" ht="57" customHeight="1" x14ac:dyDescent="0.3">
      <c r="A112" s="60"/>
      <c r="B112" s="60"/>
      <c r="C112" s="60"/>
      <c r="D112" s="61" t="s">
        <v>199</v>
      </c>
      <c r="E112" s="62" t="s">
        <v>58</v>
      </c>
      <c r="F112" s="61" t="s">
        <v>172</v>
      </c>
    </row>
    <row r="113" spans="1:6" ht="57" customHeight="1" x14ac:dyDescent="0.3">
      <c r="A113" s="60"/>
      <c r="B113" s="60"/>
      <c r="C113" s="60"/>
      <c r="D113" s="61" t="s">
        <v>200</v>
      </c>
      <c r="E113" s="62" t="s">
        <v>58</v>
      </c>
      <c r="F113" s="61" t="s">
        <v>172</v>
      </c>
    </row>
    <row r="114" spans="1:6" ht="31.5" customHeight="1" x14ac:dyDescent="0.3">
      <c r="A114" s="60"/>
      <c r="B114" s="60"/>
      <c r="C114" s="60"/>
      <c r="D114" s="61" t="s">
        <v>201</v>
      </c>
      <c r="E114" s="62" t="s">
        <v>58</v>
      </c>
      <c r="F114" s="61" t="s">
        <v>202</v>
      </c>
    </row>
    <row r="115" spans="1:6" ht="31.5" customHeight="1" x14ac:dyDescent="0.3">
      <c r="A115" s="60"/>
      <c r="B115" s="60"/>
      <c r="C115" s="60"/>
      <c r="D115" s="61" t="s">
        <v>203</v>
      </c>
      <c r="E115" s="62" t="s">
        <v>58</v>
      </c>
      <c r="F115" s="61" t="s">
        <v>142</v>
      </c>
    </row>
    <row r="116" spans="1:6" ht="57" customHeight="1" x14ac:dyDescent="0.3">
      <c r="A116" s="60"/>
      <c r="B116" s="60"/>
      <c r="C116" s="60" t="s">
        <v>204</v>
      </c>
      <c r="D116" s="61" t="s">
        <v>205</v>
      </c>
      <c r="E116" s="62" t="s">
        <v>58</v>
      </c>
      <c r="F116" s="61" t="s">
        <v>172</v>
      </c>
    </row>
    <row r="117" spans="1:6" ht="57" customHeight="1" x14ac:dyDescent="0.3">
      <c r="A117" s="60"/>
      <c r="B117" s="60"/>
      <c r="C117" s="60"/>
      <c r="D117" s="61" t="s">
        <v>206</v>
      </c>
      <c r="E117" s="62" t="s">
        <v>58</v>
      </c>
      <c r="F117" s="61" t="s">
        <v>172</v>
      </c>
    </row>
    <row r="118" spans="1:6" ht="31.5" customHeight="1" x14ac:dyDescent="0.3">
      <c r="A118" s="60"/>
      <c r="B118" s="60"/>
      <c r="C118" s="60" t="s">
        <v>207</v>
      </c>
      <c r="D118" s="61" t="s">
        <v>208</v>
      </c>
      <c r="E118" s="62" t="s">
        <v>60</v>
      </c>
      <c r="F118" s="61" t="s">
        <v>209</v>
      </c>
    </row>
    <row r="119" spans="1:6" ht="57" customHeight="1" x14ac:dyDescent="0.3">
      <c r="A119" s="60"/>
      <c r="B119" s="60"/>
      <c r="C119" s="60"/>
      <c r="D119" s="61" t="s">
        <v>210</v>
      </c>
      <c r="E119" s="62" t="s">
        <v>58</v>
      </c>
      <c r="F119" s="61" t="s">
        <v>172</v>
      </c>
    </row>
    <row r="120" spans="1:6" ht="57" customHeight="1" x14ac:dyDescent="0.3">
      <c r="A120" s="60"/>
      <c r="B120" s="60"/>
      <c r="C120" s="60"/>
      <c r="D120" s="61" t="s">
        <v>211</v>
      </c>
      <c r="E120" s="62" t="s">
        <v>60</v>
      </c>
      <c r="F120" s="61" t="s">
        <v>172</v>
      </c>
    </row>
    <row r="121" spans="1:6" ht="69.75" customHeight="1" x14ac:dyDescent="0.3">
      <c r="A121" s="60"/>
      <c r="B121" s="60"/>
      <c r="C121" s="60"/>
      <c r="D121" s="61" t="s">
        <v>212</v>
      </c>
      <c r="E121" s="62" t="s">
        <v>58</v>
      </c>
      <c r="F121" s="61" t="s">
        <v>213</v>
      </c>
    </row>
    <row r="122" spans="1:6" ht="18.75" customHeight="1" x14ac:dyDescent="0.3">
      <c r="A122" s="60"/>
      <c r="B122" s="60"/>
      <c r="C122" s="60" t="s">
        <v>214</v>
      </c>
      <c r="D122" s="61" t="s">
        <v>215</v>
      </c>
      <c r="E122" s="62" t="s">
        <v>58</v>
      </c>
      <c r="F122" s="61"/>
    </row>
    <row r="123" spans="1:6" ht="57" customHeight="1" x14ac:dyDescent="0.3">
      <c r="A123" s="60"/>
      <c r="B123" s="60"/>
      <c r="C123" s="60"/>
      <c r="D123" s="61" t="s">
        <v>216</v>
      </c>
      <c r="E123" s="62" t="s">
        <v>58</v>
      </c>
      <c r="F123" s="61" t="s">
        <v>172</v>
      </c>
    </row>
    <row r="124" spans="1:6" ht="18.75" customHeight="1" x14ac:dyDescent="0.3">
      <c r="A124" s="60"/>
      <c r="B124" s="60"/>
      <c r="C124" s="60"/>
      <c r="D124" s="61" t="s">
        <v>217</v>
      </c>
      <c r="E124" s="62" t="s">
        <v>58</v>
      </c>
      <c r="F124" s="61"/>
    </row>
    <row r="125" spans="1:6" ht="31.5" customHeight="1" x14ac:dyDescent="0.3">
      <c r="A125" s="60"/>
      <c r="B125" s="60"/>
      <c r="C125" s="60"/>
      <c r="D125" s="61" t="s">
        <v>218</v>
      </c>
      <c r="E125" s="62" t="s">
        <v>58</v>
      </c>
      <c r="F125" s="61" t="s">
        <v>219</v>
      </c>
    </row>
    <row r="126" spans="1:6" ht="31.5" customHeight="1" x14ac:dyDescent="0.3">
      <c r="A126" s="60"/>
      <c r="B126" s="60"/>
      <c r="C126" s="60"/>
      <c r="D126" s="61" t="s">
        <v>220</v>
      </c>
      <c r="E126" s="62" t="s">
        <v>58</v>
      </c>
      <c r="F126" s="61" t="s">
        <v>221</v>
      </c>
    </row>
    <row r="127" spans="1:6" ht="18.75" customHeight="1" x14ac:dyDescent="0.3">
      <c r="A127" s="60"/>
      <c r="B127" s="60"/>
      <c r="C127" s="60"/>
      <c r="D127" s="61" t="s">
        <v>222</v>
      </c>
      <c r="E127" s="62" t="s">
        <v>58</v>
      </c>
      <c r="F127" s="61"/>
    </row>
    <row r="128" spans="1:6" ht="18.75" customHeight="1" x14ac:dyDescent="0.3">
      <c r="A128" s="60"/>
      <c r="B128" s="60"/>
      <c r="C128" s="60" t="s">
        <v>123</v>
      </c>
      <c r="D128" s="61" t="s">
        <v>223</v>
      </c>
      <c r="E128" s="62" t="s">
        <v>58</v>
      </c>
      <c r="F128" s="61"/>
    </row>
    <row r="129" spans="1:6" ht="18.75" customHeight="1" x14ac:dyDescent="0.3">
      <c r="A129" s="60"/>
      <c r="B129" s="60"/>
      <c r="C129" s="60"/>
      <c r="D129" s="61" t="s">
        <v>224</v>
      </c>
      <c r="E129" s="62" t="s">
        <v>58</v>
      </c>
      <c r="F129" s="61"/>
    </row>
    <row r="130" spans="1:6" ht="18.75" customHeight="1" x14ac:dyDescent="0.3">
      <c r="A130" s="60"/>
      <c r="B130" s="60"/>
      <c r="C130" s="60"/>
      <c r="D130" s="61" t="s">
        <v>225</v>
      </c>
      <c r="E130" s="62" t="s">
        <v>58</v>
      </c>
      <c r="F130" s="61"/>
    </row>
    <row r="131" spans="1:6" ht="44.25" customHeight="1" x14ac:dyDescent="0.3">
      <c r="A131" s="60"/>
      <c r="B131" s="60"/>
      <c r="C131" s="60"/>
      <c r="D131" s="61" t="s">
        <v>226</v>
      </c>
      <c r="E131" s="62" t="s">
        <v>58</v>
      </c>
      <c r="F131" s="61" t="s">
        <v>227</v>
      </c>
    </row>
    <row r="132" spans="1:6" ht="18.75" customHeight="1" x14ac:dyDescent="0.3">
      <c r="A132" s="60"/>
      <c r="B132" s="60"/>
      <c r="C132" s="60"/>
      <c r="D132" s="61" t="s">
        <v>228</v>
      </c>
      <c r="E132" s="62" t="s">
        <v>60</v>
      </c>
      <c r="F132" s="61"/>
    </row>
    <row r="133" spans="1:6" ht="25.5" customHeight="1" x14ac:dyDescent="0.3">
      <c r="A133" s="60" t="s">
        <v>229</v>
      </c>
      <c r="B133" s="60" t="s">
        <v>230</v>
      </c>
      <c r="C133" s="60" t="s">
        <v>56</v>
      </c>
      <c r="D133" s="61" t="s">
        <v>231</v>
      </c>
      <c r="E133" s="62" t="s">
        <v>58</v>
      </c>
      <c r="F133" s="61"/>
    </row>
    <row r="134" spans="1:6" ht="12.75" customHeight="1" x14ac:dyDescent="0.3">
      <c r="A134" s="60"/>
      <c r="B134" s="60"/>
      <c r="C134" s="60"/>
      <c r="D134" s="61" t="s">
        <v>232</v>
      </c>
      <c r="E134" s="62" t="s">
        <v>58</v>
      </c>
      <c r="F134" s="61"/>
    </row>
    <row r="135" spans="1:6" ht="12.75" customHeight="1" x14ac:dyDescent="0.3">
      <c r="A135" s="60"/>
      <c r="B135" s="60"/>
      <c r="C135" s="60"/>
      <c r="D135" s="61" t="s">
        <v>233</v>
      </c>
      <c r="E135" s="62" t="s">
        <v>60</v>
      </c>
      <c r="F135" s="61"/>
    </row>
    <row r="136" spans="1:6" ht="63.75" customHeight="1" x14ac:dyDescent="0.3">
      <c r="A136" s="60"/>
      <c r="B136" s="60"/>
      <c r="C136" s="60"/>
      <c r="D136" s="61" t="s">
        <v>234</v>
      </c>
      <c r="E136" s="62" t="s">
        <v>60</v>
      </c>
      <c r="F136" s="61" t="s">
        <v>235</v>
      </c>
    </row>
    <row r="137" spans="1:6" ht="12.75" customHeight="1" x14ac:dyDescent="0.3">
      <c r="A137" s="60"/>
      <c r="B137" s="60"/>
      <c r="C137" s="60"/>
      <c r="D137" s="61" t="s">
        <v>166</v>
      </c>
      <c r="E137" s="62" t="s">
        <v>60</v>
      </c>
      <c r="F137" s="61"/>
    </row>
    <row r="138" spans="1:6" ht="12.75" customHeight="1" x14ac:dyDescent="0.3">
      <c r="A138" s="60"/>
      <c r="B138" s="60"/>
      <c r="C138" s="60"/>
      <c r="D138" s="61" t="s">
        <v>167</v>
      </c>
      <c r="E138" s="62" t="s">
        <v>60</v>
      </c>
      <c r="F138" s="61"/>
    </row>
    <row r="139" spans="1:6" ht="12.75" customHeight="1" x14ac:dyDescent="0.3">
      <c r="A139" s="60"/>
      <c r="B139" s="60"/>
      <c r="C139" s="60"/>
      <c r="D139" s="61" t="s">
        <v>168</v>
      </c>
      <c r="E139" s="62" t="s">
        <v>60</v>
      </c>
      <c r="F139" s="61"/>
    </row>
    <row r="140" spans="1:6" ht="12.75" customHeight="1" x14ac:dyDescent="0.3">
      <c r="A140" s="60"/>
      <c r="B140" s="60"/>
      <c r="C140" s="60"/>
      <c r="D140" s="61" t="s">
        <v>170</v>
      </c>
      <c r="E140" s="62" t="s">
        <v>60</v>
      </c>
      <c r="F140" s="61"/>
    </row>
    <row r="141" spans="1:6" ht="51" customHeight="1" x14ac:dyDescent="0.3">
      <c r="A141" s="60"/>
      <c r="B141" s="60"/>
      <c r="C141" s="60"/>
      <c r="D141" s="61" t="s">
        <v>171</v>
      </c>
      <c r="E141" s="62" t="s">
        <v>60</v>
      </c>
      <c r="F141" s="61" t="s">
        <v>172</v>
      </c>
    </row>
    <row r="142" spans="1:6" ht="12.75" customHeight="1" x14ac:dyDescent="0.3">
      <c r="A142" s="60"/>
      <c r="B142" s="60"/>
      <c r="C142" s="60"/>
      <c r="D142" s="61" t="s">
        <v>174</v>
      </c>
      <c r="E142" s="62" t="s">
        <v>60</v>
      </c>
      <c r="F142" s="61"/>
    </row>
    <row r="143" spans="1:6" ht="51" customHeight="1" x14ac:dyDescent="0.3">
      <c r="A143" s="60"/>
      <c r="B143" s="60"/>
      <c r="C143" s="60" t="s">
        <v>175</v>
      </c>
      <c r="D143" s="61" t="s">
        <v>236</v>
      </c>
      <c r="E143" s="62" t="s">
        <v>58</v>
      </c>
      <c r="F143" s="61" t="s">
        <v>172</v>
      </c>
    </row>
    <row r="144" spans="1:6" ht="51" customHeight="1" x14ac:dyDescent="0.3">
      <c r="A144" s="60"/>
      <c r="B144" s="60"/>
      <c r="C144" s="60"/>
      <c r="D144" s="61" t="s">
        <v>237</v>
      </c>
      <c r="E144" s="62" t="s">
        <v>58</v>
      </c>
      <c r="F144" s="61" t="s">
        <v>172</v>
      </c>
    </row>
    <row r="145" spans="1:6" ht="63.75" customHeight="1" x14ac:dyDescent="0.3">
      <c r="A145" s="60"/>
      <c r="B145" s="60"/>
      <c r="C145" s="60"/>
      <c r="D145" s="61" t="s">
        <v>238</v>
      </c>
      <c r="E145" s="62" t="s">
        <v>58</v>
      </c>
      <c r="F145" s="61" t="s">
        <v>178</v>
      </c>
    </row>
    <row r="146" spans="1:6" ht="63.75" customHeight="1" x14ac:dyDescent="0.3">
      <c r="A146" s="60"/>
      <c r="B146" s="60"/>
      <c r="C146" s="60"/>
      <c r="D146" s="61" t="s">
        <v>239</v>
      </c>
      <c r="E146" s="62" t="s">
        <v>58</v>
      </c>
      <c r="F146" s="61" t="s">
        <v>240</v>
      </c>
    </row>
    <row r="147" spans="1:6" ht="51" customHeight="1" x14ac:dyDescent="0.3">
      <c r="A147" s="60"/>
      <c r="B147" s="60"/>
      <c r="C147" s="60"/>
      <c r="D147" s="61" t="s">
        <v>241</v>
      </c>
      <c r="E147" s="62" t="s">
        <v>58</v>
      </c>
      <c r="F147" s="61" t="s">
        <v>172</v>
      </c>
    </row>
    <row r="148" spans="1:6" ht="51" customHeight="1" x14ac:dyDescent="0.3">
      <c r="A148" s="60"/>
      <c r="B148" s="60"/>
      <c r="C148" s="60"/>
      <c r="D148" s="61" t="s">
        <v>242</v>
      </c>
      <c r="E148" s="62" t="s">
        <v>58</v>
      </c>
      <c r="F148" s="61" t="s">
        <v>172</v>
      </c>
    </row>
    <row r="149" spans="1:6" ht="25.5" customHeight="1" x14ac:dyDescent="0.3">
      <c r="A149" s="60"/>
      <c r="B149" s="60"/>
      <c r="C149" s="60"/>
      <c r="D149" s="61" t="s">
        <v>243</v>
      </c>
      <c r="E149" s="62" t="s">
        <v>58</v>
      </c>
      <c r="F149" s="61" t="s">
        <v>180</v>
      </c>
    </row>
    <row r="150" spans="1:6" ht="76.5" customHeight="1" x14ac:dyDescent="0.3">
      <c r="A150" s="60"/>
      <c r="B150" s="60"/>
      <c r="C150" s="60"/>
      <c r="D150" s="61" t="s">
        <v>244</v>
      </c>
      <c r="E150" s="62" t="s">
        <v>58</v>
      </c>
      <c r="F150" s="61" t="s">
        <v>245</v>
      </c>
    </row>
    <row r="151" spans="1:6" ht="12.75" customHeight="1" x14ac:dyDescent="0.3">
      <c r="A151" s="60"/>
      <c r="B151" s="60"/>
      <c r="C151" s="60"/>
      <c r="D151" s="61" t="s">
        <v>246</v>
      </c>
      <c r="E151" s="62" t="s">
        <v>58</v>
      </c>
      <c r="F151" s="61"/>
    </row>
    <row r="152" spans="1:6" ht="76.5" customHeight="1" x14ac:dyDescent="0.3">
      <c r="A152" s="60"/>
      <c r="B152" s="60"/>
      <c r="C152" s="60"/>
      <c r="D152" s="61" t="s">
        <v>247</v>
      </c>
      <c r="E152" s="62" t="s">
        <v>58</v>
      </c>
      <c r="F152" s="61" t="s">
        <v>248</v>
      </c>
    </row>
    <row r="153" spans="1:6" ht="51" customHeight="1" x14ac:dyDescent="0.3">
      <c r="A153" s="60"/>
      <c r="B153" s="60"/>
      <c r="C153" s="60"/>
      <c r="D153" s="61" t="s">
        <v>249</v>
      </c>
      <c r="E153" s="62" t="s">
        <v>58</v>
      </c>
      <c r="F153" s="61" t="s">
        <v>172</v>
      </c>
    </row>
    <row r="154" spans="1:6" ht="51" customHeight="1" x14ac:dyDescent="0.3">
      <c r="A154" s="60"/>
      <c r="B154" s="60"/>
      <c r="C154" s="60"/>
      <c r="D154" s="61" t="s">
        <v>200</v>
      </c>
      <c r="E154" s="62" t="s">
        <v>58</v>
      </c>
      <c r="F154" s="61" t="s">
        <v>172</v>
      </c>
    </row>
    <row r="155" spans="1:6" ht="25.5" customHeight="1" x14ac:dyDescent="0.3">
      <c r="A155" s="60"/>
      <c r="B155" s="60"/>
      <c r="C155" s="60"/>
      <c r="D155" s="61" t="s">
        <v>201</v>
      </c>
      <c r="E155" s="62" t="s">
        <v>58</v>
      </c>
      <c r="F155" s="61" t="s">
        <v>250</v>
      </c>
    </row>
    <row r="156" spans="1:6" ht="25.5" customHeight="1" x14ac:dyDescent="0.3">
      <c r="A156" s="60"/>
      <c r="B156" s="60"/>
      <c r="C156" s="60"/>
      <c r="D156" s="61" t="s">
        <v>251</v>
      </c>
      <c r="E156" s="62" t="s">
        <v>58</v>
      </c>
      <c r="F156" s="61" t="s">
        <v>142</v>
      </c>
    </row>
    <row r="157" spans="1:6" ht="51" customHeight="1" x14ac:dyDescent="0.3">
      <c r="A157" s="60"/>
      <c r="B157" s="60"/>
      <c r="C157" s="60" t="s">
        <v>204</v>
      </c>
      <c r="D157" s="61" t="s">
        <v>252</v>
      </c>
      <c r="E157" s="62" t="s">
        <v>58</v>
      </c>
      <c r="F157" s="61" t="s">
        <v>172</v>
      </c>
    </row>
    <row r="158" spans="1:6" ht="51" customHeight="1" x14ac:dyDescent="0.3">
      <c r="A158" s="60"/>
      <c r="B158" s="60"/>
      <c r="C158" s="60"/>
      <c r="D158" s="61" t="s">
        <v>206</v>
      </c>
      <c r="E158" s="62" t="s">
        <v>58</v>
      </c>
      <c r="F158" s="61" t="s">
        <v>172</v>
      </c>
    </row>
    <row r="159" spans="1:6" ht="25.5" customHeight="1" x14ac:dyDescent="0.3">
      <c r="A159" s="60"/>
      <c r="B159" s="60"/>
      <c r="C159" s="60" t="s">
        <v>207</v>
      </c>
      <c r="D159" s="61" t="s">
        <v>208</v>
      </c>
      <c r="E159" s="62" t="s">
        <v>60</v>
      </c>
      <c r="F159" s="61" t="s">
        <v>209</v>
      </c>
    </row>
    <row r="160" spans="1:6" ht="51" customHeight="1" x14ac:dyDescent="0.3">
      <c r="A160" s="60"/>
      <c r="B160" s="60"/>
      <c r="C160" s="60"/>
      <c r="D160" s="61" t="s">
        <v>210</v>
      </c>
      <c r="E160" s="62" t="s">
        <v>58</v>
      </c>
      <c r="F160" s="61" t="s">
        <v>172</v>
      </c>
    </row>
    <row r="161" spans="1:6" ht="51" customHeight="1" x14ac:dyDescent="0.3">
      <c r="A161" s="60"/>
      <c r="B161" s="60"/>
      <c r="C161" s="60"/>
      <c r="D161" s="61" t="s">
        <v>211</v>
      </c>
      <c r="E161" s="62" t="s">
        <v>60</v>
      </c>
      <c r="F161" s="61" t="s">
        <v>172</v>
      </c>
    </row>
    <row r="162" spans="1:6" ht="63.75" customHeight="1" x14ac:dyDescent="0.3">
      <c r="A162" s="60"/>
      <c r="B162" s="60"/>
      <c r="C162" s="60"/>
      <c r="D162" s="61" t="s">
        <v>212</v>
      </c>
      <c r="E162" s="62" t="s">
        <v>58</v>
      </c>
      <c r="F162" s="61" t="s">
        <v>213</v>
      </c>
    </row>
    <row r="163" spans="1:6" ht="12.75" customHeight="1" x14ac:dyDescent="0.3">
      <c r="A163" s="60"/>
      <c r="B163" s="60"/>
      <c r="C163" s="60" t="s">
        <v>214</v>
      </c>
      <c r="D163" s="61" t="s">
        <v>215</v>
      </c>
      <c r="E163" s="62" t="s">
        <v>58</v>
      </c>
      <c r="F163" s="61"/>
    </row>
    <row r="164" spans="1:6" ht="51" customHeight="1" x14ac:dyDescent="0.3">
      <c r="A164" s="60"/>
      <c r="B164" s="60"/>
      <c r="C164" s="60"/>
      <c r="D164" s="61" t="s">
        <v>216</v>
      </c>
      <c r="E164" s="62" t="s">
        <v>58</v>
      </c>
      <c r="F164" s="61" t="s">
        <v>172</v>
      </c>
    </row>
    <row r="165" spans="1:6" ht="12.75" customHeight="1" x14ac:dyDescent="0.3">
      <c r="A165" s="60"/>
      <c r="B165" s="60"/>
      <c r="C165" s="60"/>
      <c r="D165" s="61" t="s">
        <v>217</v>
      </c>
      <c r="E165" s="62" t="s">
        <v>58</v>
      </c>
      <c r="F165" s="61"/>
    </row>
    <row r="166" spans="1:6" ht="25.5" customHeight="1" x14ac:dyDescent="0.3">
      <c r="A166" s="60"/>
      <c r="B166" s="60"/>
      <c r="C166" s="60"/>
      <c r="D166" s="61" t="s">
        <v>253</v>
      </c>
      <c r="E166" s="62" t="s">
        <v>58</v>
      </c>
      <c r="F166" s="61" t="s">
        <v>219</v>
      </c>
    </row>
    <row r="167" spans="1:6" ht="25.5" customHeight="1" x14ac:dyDescent="0.3">
      <c r="A167" s="60"/>
      <c r="B167" s="60"/>
      <c r="C167" s="60"/>
      <c r="D167" s="61" t="s">
        <v>220</v>
      </c>
      <c r="E167" s="62" t="s">
        <v>58</v>
      </c>
      <c r="F167" s="61" t="s">
        <v>221</v>
      </c>
    </row>
    <row r="168" spans="1:6" ht="12.75" customHeight="1" x14ac:dyDescent="0.3">
      <c r="A168" s="60"/>
      <c r="B168" s="60"/>
      <c r="C168" s="60"/>
      <c r="D168" s="61" t="s">
        <v>222</v>
      </c>
      <c r="E168" s="62" t="s">
        <v>58</v>
      </c>
      <c r="F168" s="61"/>
    </row>
    <row r="169" spans="1:6" ht="12.75" customHeight="1" x14ac:dyDescent="0.3">
      <c r="A169" s="60"/>
      <c r="B169" s="60"/>
      <c r="C169" s="60" t="s">
        <v>123</v>
      </c>
      <c r="D169" s="61" t="s">
        <v>124</v>
      </c>
      <c r="E169" s="62" t="s">
        <v>58</v>
      </c>
      <c r="F169" s="61"/>
    </row>
    <row r="170" spans="1:6" ht="12.75" customHeight="1" x14ac:dyDescent="0.3">
      <c r="A170" s="60"/>
      <c r="B170" s="60"/>
      <c r="C170" s="60"/>
      <c r="D170" s="61" t="s">
        <v>254</v>
      </c>
      <c r="E170" s="62" t="s">
        <v>58</v>
      </c>
      <c r="F170" s="61"/>
    </row>
    <row r="171" spans="1:6" ht="12.75" customHeight="1" x14ac:dyDescent="0.3">
      <c r="A171" s="60"/>
      <c r="B171" s="60"/>
      <c r="C171" s="60"/>
      <c r="D171" s="61" t="s">
        <v>255</v>
      </c>
      <c r="E171" s="62" t="s">
        <v>58</v>
      </c>
      <c r="F171" s="61"/>
    </row>
    <row r="172" spans="1:6" ht="38.25" customHeight="1" x14ac:dyDescent="0.3">
      <c r="A172" s="60"/>
      <c r="B172" s="60"/>
      <c r="C172" s="60"/>
      <c r="D172" s="61" t="s">
        <v>256</v>
      </c>
      <c r="E172" s="62" t="s">
        <v>58</v>
      </c>
      <c r="F172" s="61" t="s">
        <v>227</v>
      </c>
    </row>
    <row r="173" spans="1:6" ht="12.75" customHeight="1" x14ac:dyDescent="0.3">
      <c r="A173" s="60"/>
      <c r="B173" s="60"/>
      <c r="C173" s="60"/>
      <c r="D173" s="61" t="s">
        <v>257</v>
      </c>
      <c r="E173" s="62" t="s">
        <v>60</v>
      </c>
      <c r="F173" s="61"/>
    </row>
    <row r="174" spans="1:6" ht="25.5" customHeight="1" x14ac:dyDescent="0.3">
      <c r="A174" s="60"/>
      <c r="B174" s="60"/>
      <c r="C174" s="60"/>
      <c r="D174" s="61" t="s">
        <v>258</v>
      </c>
      <c r="E174" s="62" t="s">
        <v>58</v>
      </c>
      <c r="F174" s="61" t="s">
        <v>259</v>
      </c>
    </row>
    <row r="175" spans="1:6" ht="38.25" customHeight="1" x14ac:dyDescent="0.3">
      <c r="A175" s="60" t="s">
        <v>260</v>
      </c>
      <c r="B175" s="60" t="s">
        <v>261</v>
      </c>
      <c r="C175" s="60" t="s">
        <v>56</v>
      </c>
      <c r="D175" s="61" t="s">
        <v>262</v>
      </c>
      <c r="E175" s="62" t="s">
        <v>58</v>
      </c>
      <c r="F175" s="61"/>
    </row>
    <row r="176" spans="1:6" ht="12.75" customHeight="1" x14ac:dyDescent="0.3">
      <c r="A176" s="60"/>
      <c r="B176" s="60"/>
      <c r="C176" s="60"/>
      <c r="D176" s="61" t="s">
        <v>263</v>
      </c>
      <c r="E176" s="62" t="s">
        <v>58</v>
      </c>
      <c r="F176" s="61"/>
    </row>
    <row r="177" spans="1:6" ht="12.75" customHeight="1" x14ac:dyDescent="0.3">
      <c r="A177" s="60"/>
      <c r="B177" s="60"/>
      <c r="C177" s="60"/>
      <c r="D177" s="61" t="s">
        <v>264</v>
      </c>
      <c r="E177" s="62" t="s">
        <v>60</v>
      </c>
      <c r="F177" s="61"/>
    </row>
    <row r="178" spans="1:6" ht="12.75" customHeight="1" x14ac:dyDescent="0.3">
      <c r="A178" s="60"/>
      <c r="B178" s="60"/>
      <c r="C178" s="60"/>
      <c r="D178" s="61" t="s">
        <v>166</v>
      </c>
      <c r="E178" s="62" t="s">
        <v>60</v>
      </c>
      <c r="F178" s="61"/>
    </row>
    <row r="179" spans="1:6" ht="12.75" customHeight="1" x14ac:dyDescent="0.3">
      <c r="A179" s="60"/>
      <c r="B179" s="60"/>
      <c r="C179" s="60"/>
      <c r="D179" s="61" t="s">
        <v>167</v>
      </c>
      <c r="E179" s="62" t="s">
        <v>60</v>
      </c>
      <c r="F179" s="61"/>
    </row>
    <row r="180" spans="1:6" ht="12.75" customHeight="1" x14ac:dyDescent="0.3">
      <c r="A180" s="60"/>
      <c r="B180" s="60"/>
      <c r="C180" s="60"/>
      <c r="D180" s="61" t="s">
        <v>168</v>
      </c>
      <c r="E180" s="62" t="s">
        <v>60</v>
      </c>
      <c r="F180" s="61"/>
    </row>
    <row r="181" spans="1:6" ht="38.25" customHeight="1" x14ac:dyDescent="0.3">
      <c r="A181" s="60"/>
      <c r="B181" s="60"/>
      <c r="C181" s="60"/>
      <c r="D181" s="61" t="s">
        <v>169</v>
      </c>
      <c r="E181" s="62" t="s">
        <v>60</v>
      </c>
      <c r="F181" s="61" t="s">
        <v>265</v>
      </c>
    </row>
    <row r="182" spans="1:6" ht="12.75" customHeight="1" x14ac:dyDescent="0.3">
      <c r="A182" s="60"/>
      <c r="B182" s="60"/>
      <c r="C182" s="60"/>
      <c r="D182" s="61" t="s">
        <v>170</v>
      </c>
      <c r="E182" s="62" t="s">
        <v>60</v>
      </c>
      <c r="F182" s="61"/>
    </row>
    <row r="183" spans="1:6" ht="63.75" customHeight="1" x14ac:dyDescent="0.3">
      <c r="A183" s="60"/>
      <c r="B183" s="60"/>
      <c r="C183" s="60"/>
      <c r="D183" s="61" t="s">
        <v>171</v>
      </c>
      <c r="E183" s="62" t="s">
        <v>60</v>
      </c>
      <c r="F183" s="61" t="s">
        <v>266</v>
      </c>
    </row>
    <row r="184" spans="1:6" ht="12.75" customHeight="1" x14ac:dyDescent="0.3">
      <c r="A184" s="60"/>
      <c r="B184" s="60"/>
      <c r="C184" s="60"/>
      <c r="D184" s="61" t="s">
        <v>174</v>
      </c>
      <c r="E184" s="62" t="s">
        <v>60</v>
      </c>
      <c r="F184" s="61"/>
    </row>
    <row r="185" spans="1:6" ht="76.5" customHeight="1" x14ac:dyDescent="0.3">
      <c r="A185" s="60"/>
      <c r="B185" s="60"/>
      <c r="C185" s="60" t="s">
        <v>267</v>
      </c>
      <c r="D185" s="61" t="s">
        <v>268</v>
      </c>
      <c r="E185" s="62" t="s">
        <v>58</v>
      </c>
      <c r="F185" s="61" t="s">
        <v>269</v>
      </c>
    </row>
    <row r="186" spans="1:6" ht="63.75" customHeight="1" x14ac:dyDescent="0.3">
      <c r="A186" s="60"/>
      <c r="B186" s="60"/>
      <c r="C186" s="60"/>
      <c r="D186" s="61" t="s">
        <v>270</v>
      </c>
      <c r="E186" s="62" t="s">
        <v>58</v>
      </c>
      <c r="F186" s="61" t="s">
        <v>271</v>
      </c>
    </row>
    <row r="187" spans="1:6" ht="25.5" customHeight="1" x14ac:dyDescent="0.3">
      <c r="A187" s="60"/>
      <c r="B187" s="60"/>
      <c r="C187" s="60" t="s">
        <v>175</v>
      </c>
      <c r="D187" s="61" t="s">
        <v>272</v>
      </c>
      <c r="E187" s="62" t="s">
        <v>60</v>
      </c>
      <c r="F187" s="61" t="s">
        <v>273</v>
      </c>
    </row>
    <row r="188" spans="1:6" ht="38.25" customHeight="1" x14ac:dyDescent="0.3">
      <c r="A188" s="60"/>
      <c r="B188" s="60"/>
      <c r="C188" s="60"/>
      <c r="D188" s="61" t="s">
        <v>274</v>
      </c>
      <c r="E188" s="62" t="s">
        <v>60</v>
      </c>
      <c r="F188" s="61" t="s">
        <v>275</v>
      </c>
    </row>
    <row r="189" spans="1:6" ht="25.5" customHeight="1" x14ac:dyDescent="0.3">
      <c r="A189" s="60"/>
      <c r="B189" s="60"/>
      <c r="C189" s="60"/>
      <c r="D189" s="61" t="s">
        <v>276</v>
      </c>
      <c r="E189" s="62" t="s">
        <v>60</v>
      </c>
      <c r="F189" s="61" t="s">
        <v>209</v>
      </c>
    </row>
    <row r="190" spans="1:6" ht="51" customHeight="1" x14ac:dyDescent="0.3">
      <c r="A190" s="60"/>
      <c r="B190" s="60"/>
      <c r="C190" s="60"/>
      <c r="D190" s="61" t="s">
        <v>277</v>
      </c>
      <c r="E190" s="62" t="s">
        <v>58</v>
      </c>
      <c r="F190" s="61" t="s">
        <v>172</v>
      </c>
    </row>
    <row r="191" spans="1:6" ht="51" customHeight="1" x14ac:dyDescent="0.3">
      <c r="A191" s="60"/>
      <c r="B191" s="60"/>
      <c r="C191" s="60"/>
      <c r="D191" s="61" t="s">
        <v>278</v>
      </c>
      <c r="E191" s="62" t="s">
        <v>58</v>
      </c>
      <c r="F191" s="61" t="s">
        <v>172</v>
      </c>
    </row>
    <row r="192" spans="1:6" ht="63.75" customHeight="1" x14ac:dyDescent="0.3">
      <c r="A192" s="60"/>
      <c r="B192" s="60"/>
      <c r="C192" s="60"/>
      <c r="D192" s="61" t="s">
        <v>279</v>
      </c>
      <c r="E192" s="62" t="s">
        <v>58</v>
      </c>
      <c r="F192" s="61" t="s">
        <v>178</v>
      </c>
    </row>
    <row r="193" spans="1:6" ht="25.5" customHeight="1" x14ac:dyDescent="0.3">
      <c r="A193" s="60"/>
      <c r="B193" s="60"/>
      <c r="C193" s="60"/>
      <c r="D193" s="61" t="s">
        <v>280</v>
      </c>
      <c r="E193" s="62" t="s">
        <v>58</v>
      </c>
      <c r="F193" s="61" t="s">
        <v>180</v>
      </c>
    </row>
    <row r="194" spans="1:6" ht="25.5" customHeight="1" x14ac:dyDescent="0.3">
      <c r="A194" s="60"/>
      <c r="B194" s="60"/>
      <c r="C194" s="60"/>
      <c r="D194" s="61" t="s">
        <v>281</v>
      </c>
      <c r="E194" s="62" t="s">
        <v>58</v>
      </c>
      <c r="F194" s="61" t="s">
        <v>282</v>
      </c>
    </row>
    <row r="195" spans="1:6" ht="51" customHeight="1" x14ac:dyDescent="0.3">
      <c r="A195" s="60"/>
      <c r="B195" s="60"/>
      <c r="C195" s="60"/>
      <c r="D195" s="61" t="s">
        <v>283</v>
      </c>
      <c r="E195" s="62" t="s">
        <v>58</v>
      </c>
      <c r="F195" s="61" t="s">
        <v>172</v>
      </c>
    </row>
    <row r="196" spans="1:6" ht="51" customHeight="1" x14ac:dyDescent="0.3">
      <c r="A196" s="60"/>
      <c r="B196" s="60"/>
      <c r="C196" s="60"/>
      <c r="D196" s="61" t="s">
        <v>284</v>
      </c>
      <c r="E196" s="62" t="s">
        <v>58</v>
      </c>
      <c r="F196" s="61" t="s">
        <v>172</v>
      </c>
    </row>
    <row r="197" spans="1:6" ht="76.5" customHeight="1" x14ac:dyDescent="0.3">
      <c r="A197" s="60"/>
      <c r="B197" s="60"/>
      <c r="C197" s="60"/>
      <c r="D197" s="61" t="s">
        <v>285</v>
      </c>
      <c r="E197" s="62" t="s">
        <v>58</v>
      </c>
      <c r="F197" s="61" t="s">
        <v>286</v>
      </c>
    </row>
    <row r="198" spans="1:6" ht="63.75" customHeight="1" x14ac:dyDescent="0.3">
      <c r="A198" s="60"/>
      <c r="B198" s="60"/>
      <c r="C198" s="60"/>
      <c r="D198" s="61" t="s">
        <v>287</v>
      </c>
      <c r="E198" s="62" t="s">
        <v>58</v>
      </c>
      <c r="F198" s="61" t="s">
        <v>288</v>
      </c>
    </row>
    <row r="199" spans="1:6" ht="102" customHeight="1" x14ac:dyDescent="0.3">
      <c r="A199" s="60"/>
      <c r="B199" s="60"/>
      <c r="C199" s="60"/>
      <c r="D199" s="61" t="s">
        <v>189</v>
      </c>
      <c r="E199" s="62" t="s">
        <v>58</v>
      </c>
      <c r="F199" s="61" t="s">
        <v>289</v>
      </c>
    </row>
    <row r="200" spans="1:6" ht="102" customHeight="1" x14ac:dyDescent="0.3">
      <c r="A200" s="60"/>
      <c r="B200" s="60"/>
      <c r="C200" s="60"/>
      <c r="D200" s="61" t="s">
        <v>191</v>
      </c>
      <c r="E200" s="62" t="s">
        <v>58</v>
      </c>
      <c r="F200" s="61" t="s">
        <v>289</v>
      </c>
    </row>
    <row r="201" spans="1:6" ht="102" customHeight="1" x14ac:dyDescent="0.3">
      <c r="A201" s="60"/>
      <c r="B201" s="60"/>
      <c r="C201" s="60"/>
      <c r="D201" s="61" t="s">
        <v>193</v>
      </c>
      <c r="E201" s="62" t="s">
        <v>58</v>
      </c>
      <c r="F201" s="61" t="s">
        <v>289</v>
      </c>
    </row>
    <row r="202" spans="1:6" ht="38.25" customHeight="1" x14ac:dyDescent="0.3">
      <c r="A202" s="60"/>
      <c r="B202" s="60"/>
      <c r="C202" s="60"/>
      <c r="D202" s="61" t="s">
        <v>194</v>
      </c>
      <c r="E202" s="62" t="s">
        <v>58</v>
      </c>
      <c r="F202" s="61" t="s">
        <v>195</v>
      </c>
    </row>
    <row r="203" spans="1:6" ht="51" customHeight="1" x14ac:dyDescent="0.3">
      <c r="A203" s="60"/>
      <c r="B203" s="60"/>
      <c r="C203" s="60"/>
      <c r="D203" s="61" t="s">
        <v>198</v>
      </c>
      <c r="E203" s="62" t="s">
        <v>58</v>
      </c>
      <c r="F203" s="61" t="s">
        <v>172</v>
      </c>
    </row>
    <row r="204" spans="1:6" ht="51" customHeight="1" x14ac:dyDescent="0.3">
      <c r="A204" s="60"/>
      <c r="B204" s="60"/>
      <c r="C204" s="60"/>
      <c r="D204" s="61" t="s">
        <v>199</v>
      </c>
      <c r="E204" s="62" t="s">
        <v>58</v>
      </c>
      <c r="F204" s="61" t="s">
        <v>172</v>
      </c>
    </row>
    <row r="205" spans="1:6" ht="51" customHeight="1" x14ac:dyDescent="0.3">
      <c r="A205" s="60"/>
      <c r="B205" s="60"/>
      <c r="C205" s="60"/>
      <c r="D205" s="61" t="s">
        <v>200</v>
      </c>
      <c r="E205" s="62" t="s">
        <v>58</v>
      </c>
      <c r="F205" s="61" t="s">
        <v>172</v>
      </c>
    </row>
    <row r="206" spans="1:6" ht="25.5" customHeight="1" x14ac:dyDescent="0.3">
      <c r="A206" s="60"/>
      <c r="B206" s="60"/>
      <c r="C206" s="60"/>
      <c r="D206" s="61" t="s">
        <v>201</v>
      </c>
      <c r="E206" s="62" t="s">
        <v>58</v>
      </c>
      <c r="F206" s="61" t="s">
        <v>290</v>
      </c>
    </row>
    <row r="207" spans="1:6" ht="25.5" customHeight="1" x14ac:dyDescent="0.3">
      <c r="A207" s="60"/>
      <c r="B207" s="60"/>
      <c r="C207" s="60"/>
      <c r="D207" s="61" t="s">
        <v>291</v>
      </c>
      <c r="E207" s="62" t="s">
        <v>58</v>
      </c>
      <c r="F207" s="61" t="s">
        <v>142</v>
      </c>
    </row>
    <row r="208" spans="1:6" ht="51" customHeight="1" x14ac:dyDescent="0.3">
      <c r="A208" s="60"/>
      <c r="B208" s="60"/>
      <c r="C208" s="60" t="s">
        <v>204</v>
      </c>
      <c r="D208" s="61" t="s">
        <v>292</v>
      </c>
      <c r="E208" s="62" t="s">
        <v>58</v>
      </c>
      <c r="F208" s="61" t="s">
        <v>172</v>
      </c>
    </row>
    <row r="209" spans="1:6" ht="51" customHeight="1" x14ac:dyDescent="0.3">
      <c r="A209" s="60"/>
      <c r="B209" s="60"/>
      <c r="C209" s="60"/>
      <c r="D209" s="61" t="s">
        <v>293</v>
      </c>
      <c r="E209" s="62" t="s">
        <v>58</v>
      </c>
      <c r="F209" s="61" t="s">
        <v>172</v>
      </c>
    </row>
    <row r="210" spans="1:6" ht="63.75" customHeight="1" x14ac:dyDescent="0.3">
      <c r="A210" s="60"/>
      <c r="B210" s="60"/>
      <c r="C210" s="60"/>
      <c r="D210" s="61" t="s">
        <v>294</v>
      </c>
      <c r="E210" s="62" t="s">
        <v>60</v>
      </c>
      <c r="F210" s="61" t="s">
        <v>295</v>
      </c>
    </row>
    <row r="211" spans="1:6" ht="63.75" customHeight="1" x14ac:dyDescent="0.3">
      <c r="A211" s="60"/>
      <c r="B211" s="60"/>
      <c r="C211" s="60"/>
      <c r="D211" s="61" t="s">
        <v>296</v>
      </c>
      <c r="E211" s="62" t="s">
        <v>60</v>
      </c>
      <c r="F211" s="61" t="s">
        <v>297</v>
      </c>
    </row>
    <row r="212" spans="1:6" ht="51" customHeight="1" x14ac:dyDescent="0.3">
      <c r="A212" s="60"/>
      <c r="B212" s="60"/>
      <c r="C212" s="60"/>
      <c r="D212" s="61" t="s">
        <v>206</v>
      </c>
      <c r="E212" s="62" t="s">
        <v>58</v>
      </c>
      <c r="F212" s="61" t="s">
        <v>172</v>
      </c>
    </row>
    <row r="213" spans="1:6" ht="25.5" customHeight="1" x14ac:dyDescent="0.3">
      <c r="A213" s="60"/>
      <c r="B213" s="60"/>
      <c r="C213" s="60" t="s">
        <v>207</v>
      </c>
      <c r="D213" s="61" t="s">
        <v>208</v>
      </c>
      <c r="E213" s="62" t="s">
        <v>60</v>
      </c>
      <c r="F213" s="61" t="s">
        <v>209</v>
      </c>
    </row>
    <row r="214" spans="1:6" ht="51" customHeight="1" x14ac:dyDescent="0.3">
      <c r="A214" s="60"/>
      <c r="B214" s="60"/>
      <c r="C214" s="60"/>
      <c r="D214" s="61" t="s">
        <v>210</v>
      </c>
      <c r="E214" s="62" t="s">
        <v>58</v>
      </c>
      <c r="F214" s="61" t="s">
        <v>172</v>
      </c>
    </row>
    <row r="215" spans="1:6" ht="51" customHeight="1" x14ac:dyDescent="0.3">
      <c r="A215" s="60"/>
      <c r="B215" s="60"/>
      <c r="C215" s="60"/>
      <c r="D215" s="61" t="s">
        <v>211</v>
      </c>
      <c r="E215" s="62" t="s">
        <v>60</v>
      </c>
      <c r="F215" s="61" t="s">
        <v>172</v>
      </c>
    </row>
    <row r="216" spans="1:6" ht="63.75" customHeight="1" x14ac:dyDescent="0.3">
      <c r="A216" s="60"/>
      <c r="B216" s="60"/>
      <c r="C216" s="60"/>
      <c r="D216" s="61" t="s">
        <v>212</v>
      </c>
      <c r="E216" s="62" t="s">
        <v>58</v>
      </c>
      <c r="F216" s="61" t="s">
        <v>213</v>
      </c>
    </row>
    <row r="217" spans="1:6" ht="89.25" customHeight="1" x14ac:dyDescent="0.3">
      <c r="A217" s="60"/>
      <c r="B217" s="60"/>
      <c r="C217" s="60" t="s">
        <v>298</v>
      </c>
      <c r="D217" s="61" t="s">
        <v>299</v>
      </c>
      <c r="E217" s="62" t="s">
        <v>58</v>
      </c>
      <c r="F217" s="61" t="s">
        <v>300</v>
      </c>
    </row>
    <row r="218" spans="1:6" ht="63.75" customHeight="1" x14ac:dyDescent="0.3">
      <c r="A218" s="60"/>
      <c r="B218" s="60"/>
      <c r="C218" s="60"/>
      <c r="D218" s="61" t="s">
        <v>301</v>
      </c>
      <c r="E218" s="62" t="s">
        <v>58</v>
      </c>
      <c r="F218" s="61" t="s">
        <v>302</v>
      </c>
    </row>
    <row r="219" spans="1:6" ht="25.5" customHeight="1" x14ac:dyDescent="0.3">
      <c r="A219" s="60"/>
      <c r="B219" s="60"/>
      <c r="C219" s="60"/>
      <c r="D219" s="61" t="s">
        <v>303</v>
      </c>
      <c r="E219" s="62" t="s">
        <v>58</v>
      </c>
      <c r="F219" s="61" t="s">
        <v>304</v>
      </c>
    </row>
    <row r="220" spans="1:6" ht="25.5" customHeight="1" x14ac:dyDescent="0.3">
      <c r="A220" s="60"/>
      <c r="B220" s="60"/>
      <c r="C220" s="60" t="s">
        <v>305</v>
      </c>
      <c r="D220" s="61" t="s">
        <v>306</v>
      </c>
      <c r="E220" s="62" t="s">
        <v>58</v>
      </c>
      <c r="F220" s="61" t="s">
        <v>307</v>
      </c>
    </row>
    <row r="221" spans="1:6" ht="12.75" customHeight="1" x14ac:dyDescent="0.3">
      <c r="A221" s="60"/>
      <c r="B221" s="60"/>
      <c r="C221" s="60"/>
      <c r="D221" s="61" t="s">
        <v>308</v>
      </c>
      <c r="E221" s="62" t="s">
        <v>58</v>
      </c>
      <c r="F221" s="61"/>
    </row>
    <row r="222" spans="1:6" ht="38.25" customHeight="1" x14ac:dyDescent="0.3">
      <c r="A222" s="60"/>
      <c r="B222" s="60"/>
      <c r="C222" s="60"/>
      <c r="D222" s="61" t="s">
        <v>309</v>
      </c>
      <c r="E222" s="62" t="s">
        <v>58</v>
      </c>
      <c r="F222" s="61" t="s">
        <v>310</v>
      </c>
    </row>
    <row r="223" spans="1:6" ht="38.25" customHeight="1" x14ac:dyDescent="0.3">
      <c r="A223" s="60"/>
      <c r="B223" s="60"/>
      <c r="C223" s="60"/>
      <c r="D223" s="61" t="s">
        <v>311</v>
      </c>
      <c r="E223" s="62" t="s">
        <v>58</v>
      </c>
      <c r="F223" s="61" t="s">
        <v>310</v>
      </c>
    </row>
    <row r="224" spans="1:6" ht="12.75" customHeight="1" x14ac:dyDescent="0.3">
      <c r="A224" s="60"/>
      <c r="B224" s="60"/>
      <c r="C224" s="60" t="s">
        <v>214</v>
      </c>
      <c r="D224" s="61" t="s">
        <v>215</v>
      </c>
      <c r="E224" s="62" t="s">
        <v>58</v>
      </c>
      <c r="F224" s="61"/>
    </row>
    <row r="225" spans="1:6" ht="51" customHeight="1" x14ac:dyDescent="0.3">
      <c r="A225" s="60"/>
      <c r="B225" s="60"/>
      <c r="C225" s="60"/>
      <c r="D225" s="61" t="s">
        <v>216</v>
      </c>
      <c r="E225" s="62" t="s">
        <v>58</v>
      </c>
      <c r="F225" s="61" t="s">
        <v>172</v>
      </c>
    </row>
    <row r="226" spans="1:6" ht="12.75" customHeight="1" x14ac:dyDescent="0.3">
      <c r="A226" s="60"/>
      <c r="B226" s="60"/>
      <c r="C226" s="60"/>
      <c r="D226" s="61" t="s">
        <v>217</v>
      </c>
      <c r="E226" s="62" t="s">
        <v>58</v>
      </c>
      <c r="F226" s="61"/>
    </row>
    <row r="227" spans="1:6" ht="25.5" customHeight="1" x14ac:dyDescent="0.3">
      <c r="A227" s="60"/>
      <c r="B227" s="60"/>
      <c r="C227" s="60"/>
      <c r="D227" s="61" t="s">
        <v>312</v>
      </c>
      <c r="E227" s="62" t="s">
        <v>58</v>
      </c>
      <c r="F227" s="61" t="s">
        <v>219</v>
      </c>
    </row>
    <row r="228" spans="1:6" ht="25.5" customHeight="1" x14ac:dyDescent="0.3">
      <c r="A228" s="60"/>
      <c r="B228" s="60"/>
      <c r="C228" s="60"/>
      <c r="D228" s="61" t="s">
        <v>220</v>
      </c>
      <c r="E228" s="62" t="s">
        <v>58</v>
      </c>
      <c r="F228" s="61" t="s">
        <v>221</v>
      </c>
    </row>
    <row r="229" spans="1:6" ht="51" customHeight="1" x14ac:dyDescent="0.3">
      <c r="A229" s="60"/>
      <c r="B229" s="60"/>
      <c r="C229" s="60"/>
      <c r="D229" s="61" t="s">
        <v>222</v>
      </c>
      <c r="E229" s="62" t="s">
        <v>58</v>
      </c>
      <c r="F229" s="61" t="s">
        <v>172</v>
      </c>
    </row>
    <row r="230" spans="1:6" ht="12.75" customHeight="1" x14ac:dyDescent="0.3">
      <c r="A230" s="60"/>
      <c r="B230" s="60"/>
      <c r="C230" s="60" t="s">
        <v>123</v>
      </c>
      <c r="D230" s="61" t="s">
        <v>313</v>
      </c>
      <c r="E230" s="62" t="s">
        <v>58</v>
      </c>
      <c r="F230" s="61"/>
    </row>
    <row r="231" spans="1:6" ht="12.75" customHeight="1" x14ac:dyDescent="0.3">
      <c r="A231" s="60"/>
      <c r="B231" s="60"/>
      <c r="C231" s="60"/>
      <c r="D231" s="61" t="s">
        <v>314</v>
      </c>
      <c r="E231" s="62" t="s">
        <v>58</v>
      </c>
      <c r="F231" s="61"/>
    </row>
    <row r="232" spans="1:6" ht="12.75" customHeight="1" x14ac:dyDescent="0.3">
      <c r="A232" s="60"/>
      <c r="B232" s="60"/>
      <c r="C232" s="60"/>
      <c r="D232" s="61" t="s">
        <v>315</v>
      </c>
      <c r="E232" s="62" t="s">
        <v>58</v>
      </c>
      <c r="F232" s="61"/>
    </row>
    <row r="233" spans="1:6" ht="38.25" customHeight="1" x14ac:dyDescent="0.3">
      <c r="A233" s="60"/>
      <c r="B233" s="60"/>
      <c r="C233" s="60"/>
      <c r="D233" s="61" t="s">
        <v>316</v>
      </c>
      <c r="E233" s="62" t="s">
        <v>58</v>
      </c>
      <c r="F233" s="61" t="s">
        <v>227</v>
      </c>
    </row>
    <row r="234" spans="1:6" ht="12.75" customHeight="1" x14ac:dyDescent="0.3">
      <c r="A234" s="60"/>
      <c r="B234" s="60"/>
      <c r="C234" s="60"/>
      <c r="D234" s="61" t="s">
        <v>317</v>
      </c>
      <c r="E234" s="62" t="s">
        <v>60</v>
      </c>
      <c r="F234" s="61"/>
    </row>
    <row r="235" spans="1:6" ht="25.5" customHeight="1" x14ac:dyDescent="0.3">
      <c r="A235" s="60"/>
      <c r="B235" s="60"/>
      <c r="C235" s="60"/>
      <c r="D235" s="61" t="s">
        <v>318</v>
      </c>
      <c r="E235" s="62" t="s">
        <v>58</v>
      </c>
      <c r="F235" s="61" t="s">
        <v>259</v>
      </c>
    </row>
    <row r="236" spans="1:6" ht="12.75" customHeight="1" x14ac:dyDescent="0.3"/>
    <row r="237" spans="1:6" ht="12.75" customHeight="1" x14ac:dyDescent="0.3"/>
    <row r="238" spans="1:6" ht="12.75" customHeight="1" x14ac:dyDescent="0.3"/>
    <row r="239" spans="1:6" ht="12.75" customHeight="1" x14ac:dyDescent="0.3"/>
    <row r="240" spans="1:6"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25.5" customHeight="1" x14ac:dyDescent="0.3"/>
    <row r="251" ht="14.25" customHeight="1" x14ac:dyDescent="0.3"/>
    <row r="252" ht="14.25" customHeight="1" x14ac:dyDescent="0.3"/>
    <row r="253" ht="14.25" customHeight="1" x14ac:dyDescent="0.3"/>
    <row r="254" ht="14.25" customHeight="1" x14ac:dyDescent="0.3"/>
    <row r="255" ht="14.25" customHeight="1" x14ac:dyDescent="0.3"/>
    <row r="256" ht="25.5" customHeight="1" x14ac:dyDescent="0.3"/>
    <row r="257" ht="14.25" customHeight="1" x14ac:dyDescent="0.3"/>
    <row r="258" ht="14.25" customHeight="1" x14ac:dyDescent="0.3"/>
    <row r="259" ht="14.25" customHeight="1" x14ac:dyDescent="0.3"/>
    <row r="260" ht="25.5" customHeight="1" x14ac:dyDescent="0.3"/>
    <row r="261" ht="25.5" customHeight="1" x14ac:dyDescent="0.3"/>
    <row r="262" ht="14.25" customHeight="1" x14ac:dyDescent="0.3"/>
    <row r="263" ht="14.25" customHeight="1" x14ac:dyDescent="0.3"/>
    <row r="264" ht="14.25" customHeight="1" x14ac:dyDescent="0.3"/>
    <row r="265" ht="14.25" customHeight="1" x14ac:dyDescent="0.3"/>
    <row r="266" ht="14.25" customHeight="1" x14ac:dyDescent="0.3"/>
    <row r="267" ht="25.5" customHeight="1" x14ac:dyDescent="0.3"/>
    <row r="268" ht="12.7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F235"/>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B61" zoomScaleNormal="100" workbookViewId="0">
      <selection activeCell="B3" sqref="B3:H3"/>
    </sheetView>
  </sheetViews>
  <sheetFormatPr defaultColWidth="14.44140625" defaultRowHeight="14.4" x14ac:dyDescent="0.3"/>
  <cols>
    <col min="1" max="1" width="28" style="1" customWidth="1"/>
    <col min="2" max="2" width="34" style="1" customWidth="1"/>
    <col min="3" max="3" width="52" style="1" customWidth="1"/>
    <col min="4" max="4" width="50" style="1" customWidth="1"/>
    <col min="5" max="5" width="26" style="1" customWidth="1"/>
    <col min="6" max="6" width="9" style="1" customWidth="1"/>
    <col min="7" max="7" width="12" style="1" customWidth="1"/>
    <col min="8" max="8" width="28" style="1" customWidth="1"/>
    <col min="9" max="9" width="9.44140625" style="1" customWidth="1"/>
    <col min="10" max="10" width="8.109375" style="1" hidden="1" customWidth="1"/>
    <col min="11" max="26" width="9.109375" style="1" customWidth="1"/>
  </cols>
  <sheetData>
    <row r="1" spans="1:26" ht="13.5" customHeight="1" x14ac:dyDescent="0.3">
      <c r="A1" s="63"/>
      <c r="B1" s="64"/>
      <c r="C1" s="64"/>
      <c r="D1" s="64"/>
      <c r="E1" s="64"/>
      <c r="F1" s="36"/>
      <c r="G1" s="65"/>
      <c r="H1" s="36"/>
      <c r="I1" s="66"/>
      <c r="J1" s="67"/>
      <c r="K1" s="67"/>
      <c r="L1" s="67"/>
      <c r="M1" s="67"/>
      <c r="N1" s="67"/>
      <c r="O1" s="67"/>
      <c r="P1" s="67"/>
      <c r="Q1" s="67"/>
      <c r="R1" s="67"/>
      <c r="S1" s="67"/>
      <c r="T1" s="67"/>
      <c r="U1" s="67"/>
      <c r="V1" s="67"/>
      <c r="W1" s="67"/>
      <c r="X1" s="67"/>
      <c r="Y1" s="67"/>
      <c r="Z1" s="67"/>
    </row>
    <row r="2" spans="1:26" ht="15" customHeight="1" x14ac:dyDescent="0.3">
      <c r="A2" s="63" t="s">
        <v>319</v>
      </c>
      <c r="B2" s="123" t="s">
        <v>320</v>
      </c>
      <c r="C2" s="123"/>
      <c r="D2" s="123"/>
      <c r="E2" s="123"/>
      <c r="F2" s="123"/>
      <c r="G2" s="123"/>
      <c r="H2" s="123"/>
      <c r="I2" s="66"/>
      <c r="J2" s="67" t="s">
        <v>321</v>
      </c>
      <c r="K2" s="67"/>
      <c r="L2" s="67"/>
      <c r="M2" s="67"/>
      <c r="N2" s="67"/>
      <c r="O2" s="67"/>
      <c r="P2" s="67"/>
      <c r="Q2" s="67"/>
      <c r="R2" s="67"/>
      <c r="S2" s="67"/>
      <c r="T2" s="67"/>
      <c r="U2" s="67"/>
      <c r="V2" s="67"/>
      <c r="W2" s="67"/>
      <c r="X2" s="67"/>
      <c r="Y2" s="67"/>
      <c r="Z2" s="67"/>
    </row>
    <row r="3" spans="1:26" ht="25.5" customHeight="1" x14ac:dyDescent="0.3">
      <c r="A3" s="63" t="s">
        <v>322</v>
      </c>
      <c r="B3" s="123" t="s">
        <v>32</v>
      </c>
      <c r="C3" s="123"/>
      <c r="D3" s="123"/>
      <c r="E3" s="123"/>
      <c r="F3" s="123"/>
      <c r="G3" s="123"/>
      <c r="H3" s="123"/>
      <c r="I3" s="66"/>
      <c r="J3" s="67" t="s">
        <v>323</v>
      </c>
      <c r="K3" s="67"/>
      <c r="L3" s="67"/>
      <c r="M3" s="67"/>
      <c r="N3" s="67"/>
      <c r="O3" s="67"/>
      <c r="P3" s="67"/>
      <c r="Q3" s="67"/>
      <c r="R3" s="67"/>
      <c r="S3" s="67"/>
      <c r="T3" s="67"/>
      <c r="U3" s="67"/>
      <c r="V3" s="67"/>
      <c r="W3" s="67"/>
      <c r="X3" s="67"/>
      <c r="Y3" s="67"/>
      <c r="Z3" s="67"/>
    </row>
    <row r="4" spans="1:26" ht="18" customHeight="1" x14ac:dyDescent="0.3">
      <c r="A4" s="68" t="s">
        <v>324</v>
      </c>
      <c r="B4" s="123" t="s">
        <v>4</v>
      </c>
      <c r="C4" s="123"/>
      <c r="D4" s="123"/>
      <c r="E4" s="123"/>
      <c r="F4" s="123"/>
      <c r="G4" s="123"/>
      <c r="H4" s="123"/>
      <c r="I4" s="66"/>
      <c r="J4" s="67" t="s">
        <v>325</v>
      </c>
      <c r="K4" s="67"/>
      <c r="L4" s="67"/>
      <c r="M4" s="67"/>
      <c r="N4" s="67"/>
      <c r="O4" s="67"/>
      <c r="P4" s="67"/>
      <c r="Q4" s="67"/>
      <c r="R4" s="67"/>
      <c r="S4" s="67"/>
      <c r="T4" s="67"/>
      <c r="U4" s="67"/>
      <c r="V4" s="67"/>
      <c r="W4" s="67"/>
      <c r="X4" s="67"/>
      <c r="Y4" s="67"/>
      <c r="Z4" s="67"/>
    </row>
    <row r="5" spans="1:26" ht="19.5" customHeight="1" x14ac:dyDescent="0.3">
      <c r="A5" s="69" t="s">
        <v>321</v>
      </c>
      <c r="B5" s="70" t="s">
        <v>323</v>
      </c>
      <c r="C5" s="70" t="s">
        <v>326</v>
      </c>
      <c r="D5" s="70" t="s">
        <v>325</v>
      </c>
      <c r="E5" s="71" t="s">
        <v>327</v>
      </c>
      <c r="F5" s="124" t="s">
        <v>328</v>
      </c>
      <c r="G5" s="124"/>
      <c r="H5" s="124"/>
      <c r="I5" s="72"/>
      <c r="J5" s="67" t="s">
        <v>326</v>
      </c>
      <c r="K5" s="67"/>
      <c r="L5" s="67"/>
      <c r="M5" s="67"/>
      <c r="N5" s="67"/>
      <c r="O5" s="67"/>
      <c r="P5" s="67"/>
      <c r="Q5" s="67"/>
      <c r="R5" s="67"/>
      <c r="S5" s="67"/>
      <c r="T5" s="67"/>
      <c r="U5" s="67"/>
      <c r="V5" s="67"/>
      <c r="W5" s="67"/>
      <c r="X5" s="67"/>
      <c r="Y5" s="67"/>
      <c r="Z5" s="67"/>
    </row>
    <row r="6" spans="1:26" ht="15" customHeight="1" x14ac:dyDescent="0.3">
      <c r="A6" s="73">
        <f>COUNTIF(F9:F996,"Passed")</f>
        <v>58</v>
      </c>
      <c r="B6" s="73">
        <f>COUNTIF(F9:F996,"Failed")</f>
        <v>25</v>
      </c>
      <c r="C6" s="73">
        <f>F6-E6-D6-B6-A6</f>
        <v>0</v>
      </c>
      <c r="D6" s="73">
        <f>COUNTIF(F$9:F$996,"Blocked")</f>
        <v>0</v>
      </c>
      <c r="E6" s="74">
        <f>COUNTIF(F$9:F$996,"Skipped")</f>
        <v>0</v>
      </c>
      <c r="F6" s="125">
        <f>COUNTA(A9:A996)</f>
        <v>83</v>
      </c>
      <c r="G6" s="125"/>
      <c r="H6" s="125"/>
      <c r="I6" s="72"/>
      <c r="J6" s="67" t="s">
        <v>327</v>
      </c>
      <c r="K6" s="67"/>
      <c r="L6" s="67"/>
      <c r="M6" s="67"/>
      <c r="N6" s="67"/>
      <c r="O6" s="67"/>
      <c r="P6" s="67"/>
      <c r="Q6" s="67"/>
      <c r="R6" s="67"/>
      <c r="S6" s="67"/>
      <c r="T6" s="67"/>
      <c r="U6" s="67"/>
      <c r="V6" s="67"/>
      <c r="W6" s="67"/>
      <c r="X6" s="67"/>
      <c r="Y6" s="67"/>
      <c r="Z6" s="67"/>
    </row>
    <row r="7" spans="1:26" ht="15" customHeight="1" x14ac:dyDescent="0.3">
      <c r="A7" s="67"/>
      <c r="B7" s="67"/>
      <c r="C7" s="67"/>
      <c r="D7" s="75"/>
      <c r="E7" s="75"/>
      <c r="F7" s="76"/>
      <c r="G7" s="76"/>
      <c r="H7" s="76"/>
      <c r="I7" s="72"/>
      <c r="J7" s="67"/>
      <c r="K7" s="67"/>
      <c r="L7" s="67"/>
      <c r="M7" s="67"/>
      <c r="N7" s="67"/>
      <c r="O7" s="67"/>
      <c r="P7" s="67"/>
      <c r="Q7" s="67"/>
      <c r="R7" s="67"/>
      <c r="S7" s="67"/>
      <c r="T7" s="67"/>
      <c r="U7" s="67"/>
      <c r="V7" s="67"/>
      <c r="W7" s="67"/>
      <c r="X7" s="67"/>
      <c r="Y7" s="67"/>
      <c r="Z7" s="67"/>
    </row>
    <row r="8" spans="1:26" ht="25.5" customHeight="1" x14ac:dyDescent="0.3">
      <c r="A8" s="77" t="s">
        <v>329</v>
      </c>
      <c r="B8" s="78" t="s">
        <v>330</v>
      </c>
      <c r="C8" s="78" t="s">
        <v>331</v>
      </c>
      <c r="D8" s="78" t="s">
        <v>332</v>
      </c>
      <c r="E8" s="79" t="s">
        <v>333</v>
      </c>
      <c r="F8" s="79" t="s">
        <v>334</v>
      </c>
      <c r="G8" s="79" t="s">
        <v>335</v>
      </c>
      <c r="H8" s="80" t="s">
        <v>53</v>
      </c>
      <c r="I8" s="81"/>
      <c r="J8" s="67"/>
      <c r="K8" s="67"/>
      <c r="L8" s="67"/>
      <c r="M8" s="67"/>
      <c r="N8" s="67"/>
      <c r="O8" s="67"/>
      <c r="P8" s="67"/>
      <c r="Q8" s="67"/>
      <c r="R8" s="67"/>
      <c r="S8" s="67"/>
      <c r="T8" s="67"/>
      <c r="U8" s="67"/>
      <c r="V8" s="67"/>
      <c r="W8" s="67"/>
      <c r="X8" s="67"/>
      <c r="Y8" s="67"/>
      <c r="Z8" s="67"/>
    </row>
    <row r="9" spans="1:26" ht="84.75" customHeight="1" x14ac:dyDescent="0.3">
      <c r="A9" s="82" t="s">
        <v>336</v>
      </c>
      <c r="B9" s="83" t="s">
        <v>57</v>
      </c>
      <c r="C9" s="83" t="s">
        <v>337</v>
      </c>
      <c r="D9" s="83" t="s">
        <v>338</v>
      </c>
      <c r="E9" s="83"/>
      <c r="F9" s="84" t="s">
        <v>321</v>
      </c>
      <c r="G9" s="85"/>
      <c r="H9" s="86"/>
      <c r="I9" s="87"/>
      <c r="J9" s="8"/>
      <c r="K9" s="8"/>
      <c r="L9" s="8"/>
      <c r="M9" s="8"/>
      <c r="N9" s="8"/>
      <c r="O9" s="8"/>
      <c r="P9" s="8"/>
      <c r="Q9" s="8"/>
      <c r="R9" s="8"/>
      <c r="S9" s="8"/>
      <c r="T9" s="8"/>
      <c r="U9" s="8"/>
      <c r="V9" s="8"/>
      <c r="W9" s="8"/>
      <c r="X9" s="8"/>
      <c r="Y9" s="8"/>
      <c r="Z9" s="8"/>
    </row>
    <row r="10" spans="1:26" ht="98.25" customHeight="1" x14ac:dyDescent="0.3">
      <c r="A10" s="82" t="s">
        <v>339</v>
      </c>
      <c r="B10" s="83" t="s">
        <v>59</v>
      </c>
      <c r="C10" s="83" t="s">
        <v>340</v>
      </c>
      <c r="D10" s="83" t="s">
        <v>341</v>
      </c>
      <c r="E10" s="83"/>
      <c r="F10" s="84" t="s">
        <v>321</v>
      </c>
      <c r="G10" s="85"/>
      <c r="H10" s="86"/>
      <c r="I10" s="87"/>
      <c r="J10" s="8"/>
      <c r="K10" s="8"/>
      <c r="L10" s="8"/>
      <c r="M10" s="8"/>
      <c r="N10" s="8"/>
      <c r="O10" s="8"/>
      <c r="P10" s="8"/>
      <c r="Q10" s="8"/>
      <c r="R10" s="8"/>
      <c r="S10" s="8"/>
      <c r="T10" s="8"/>
      <c r="U10" s="8"/>
      <c r="V10" s="8"/>
      <c r="W10" s="8"/>
      <c r="X10" s="8"/>
      <c r="Y10" s="8"/>
      <c r="Z10" s="8"/>
    </row>
    <row r="11" spans="1:26" ht="84.75" customHeight="1" x14ac:dyDescent="0.3">
      <c r="A11" s="82" t="s">
        <v>342</v>
      </c>
      <c r="B11" s="83" t="s">
        <v>61</v>
      </c>
      <c r="C11" s="83" t="s">
        <v>343</v>
      </c>
      <c r="D11" s="83" t="s">
        <v>344</v>
      </c>
      <c r="E11" s="83"/>
      <c r="F11" s="84" t="s">
        <v>323</v>
      </c>
      <c r="G11" s="85"/>
      <c r="H11" s="86"/>
      <c r="I11" s="88"/>
      <c r="J11" s="67"/>
      <c r="K11" s="67"/>
      <c r="L11" s="67"/>
      <c r="M11" s="67"/>
      <c r="N11" s="67"/>
      <c r="O11" s="67"/>
      <c r="P11" s="67"/>
      <c r="Q11" s="67"/>
      <c r="R11" s="67"/>
      <c r="S11" s="67"/>
      <c r="T11" s="67"/>
      <c r="U11" s="67"/>
      <c r="V11" s="67"/>
      <c r="W11" s="67"/>
      <c r="X11" s="67"/>
      <c r="Y11" s="67"/>
      <c r="Z11" s="67"/>
    </row>
    <row r="12" spans="1:26" ht="84.75" customHeight="1" x14ac:dyDescent="0.3">
      <c r="A12" s="82" t="s">
        <v>345</v>
      </c>
      <c r="B12" s="83" t="s">
        <v>62</v>
      </c>
      <c r="C12" s="83" t="s">
        <v>346</v>
      </c>
      <c r="D12" s="83" t="s">
        <v>347</v>
      </c>
      <c r="E12" s="83"/>
      <c r="F12" s="84" t="s">
        <v>323</v>
      </c>
      <c r="G12" s="85"/>
      <c r="H12" s="86"/>
      <c r="I12" s="87"/>
      <c r="J12" s="8"/>
      <c r="K12" s="8"/>
      <c r="L12" s="8"/>
      <c r="M12" s="8"/>
      <c r="N12" s="8"/>
      <c r="O12" s="8"/>
      <c r="P12" s="8"/>
      <c r="Q12" s="8"/>
      <c r="R12" s="8"/>
      <c r="S12" s="8"/>
      <c r="T12" s="8"/>
      <c r="U12" s="8"/>
      <c r="V12" s="8"/>
      <c r="W12" s="8"/>
      <c r="X12" s="8"/>
      <c r="Y12" s="8"/>
      <c r="Z12" s="8"/>
    </row>
    <row r="13" spans="1:26" ht="32.25" customHeight="1" x14ac:dyDescent="0.3">
      <c r="A13" s="82" t="s">
        <v>348</v>
      </c>
      <c r="B13" s="83" t="s">
        <v>63</v>
      </c>
      <c r="C13" s="83" t="s">
        <v>349</v>
      </c>
      <c r="D13" s="83" t="s">
        <v>350</v>
      </c>
      <c r="E13" s="83"/>
      <c r="F13" s="84" t="s">
        <v>321</v>
      </c>
      <c r="G13" s="85"/>
      <c r="H13" s="86"/>
      <c r="I13" s="89"/>
      <c r="J13" s="8"/>
      <c r="K13" s="8"/>
      <c r="L13" s="8"/>
      <c r="M13" s="8"/>
      <c r="N13" s="8"/>
      <c r="O13" s="8"/>
      <c r="P13" s="8"/>
      <c r="Q13" s="8"/>
      <c r="R13" s="8"/>
      <c r="S13" s="8"/>
      <c r="T13" s="8"/>
      <c r="U13" s="8"/>
      <c r="V13" s="8"/>
      <c r="W13" s="8"/>
      <c r="X13" s="8"/>
      <c r="Y13" s="8"/>
      <c r="Z13" s="8"/>
    </row>
    <row r="14" spans="1:26" ht="32.25" customHeight="1" x14ac:dyDescent="0.3">
      <c r="A14" s="82" t="s">
        <v>351</v>
      </c>
      <c r="B14" s="83" t="s">
        <v>64</v>
      </c>
      <c r="C14" s="83" t="s">
        <v>352</v>
      </c>
      <c r="D14" s="83" t="s">
        <v>353</v>
      </c>
      <c r="E14" s="83"/>
      <c r="F14" s="84" t="s">
        <v>321</v>
      </c>
      <c r="G14" s="85"/>
      <c r="H14" s="86"/>
      <c r="I14" s="88"/>
      <c r="J14" s="67"/>
      <c r="K14" s="67"/>
      <c r="L14" s="67"/>
      <c r="M14" s="67"/>
      <c r="N14" s="67"/>
      <c r="O14" s="67"/>
      <c r="P14" s="67"/>
      <c r="Q14" s="67"/>
      <c r="R14" s="67"/>
      <c r="S14" s="67"/>
      <c r="T14" s="67"/>
      <c r="U14" s="67"/>
      <c r="V14" s="67"/>
      <c r="W14" s="67"/>
      <c r="X14" s="67"/>
      <c r="Y14" s="67"/>
      <c r="Z14" s="67"/>
    </row>
    <row r="15" spans="1:26" ht="150.75" customHeight="1" x14ac:dyDescent="0.3">
      <c r="A15" s="82" t="s">
        <v>354</v>
      </c>
      <c r="B15" s="83" t="s">
        <v>65</v>
      </c>
      <c r="C15" s="83" t="s">
        <v>355</v>
      </c>
      <c r="D15" s="83" t="s">
        <v>356</v>
      </c>
      <c r="E15" s="83"/>
      <c r="F15" s="84" t="s">
        <v>321</v>
      </c>
      <c r="G15" s="85"/>
      <c r="H15" s="86"/>
      <c r="I15" s="87"/>
      <c r="J15" s="8"/>
      <c r="K15" s="8"/>
      <c r="L15" s="8"/>
      <c r="M15" s="8"/>
      <c r="N15" s="8"/>
      <c r="O15" s="8"/>
      <c r="P15" s="8"/>
      <c r="Q15" s="8"/>
      <c r="R15" s="8"/>
      <c r="S15" s="8"/>
      <c r="T15" s="8"/>
      <c r="U15" s="8"/>
      <c r="V15" s="8"/>
      <c r="W15" s="8"/>
      <c r="X15" s="8"/>
      <c r="Y15" s="8"/>
      <c r="Z15" s="8"/>
    </row>
    <row r="16" spans="1:26" ht="45" customHeight="1" x14ac:dyDescent="0.3">
      <c r="A16" s="82" t="s">
        <v>357</v>
      </c>
      <c r="B16" s="83" t="s">
        <v>66</v>
      </c>
      <c r="C16" s="83" t="s">
        <v>358</v>
      </c>
      <c r="D16" s="83" t="s">
        <v>359</v>
      </c>
      <c r="E16" s="83"/>
      <c r="F16" s="84" t="s">
        <v>321</v>
      </c>
      <c r="G16" s="85"/>
      <c r="H16" s="86"/>
      <c r="I16" s="89"/>
      <c r="J16" s="8"/>
      <c r="K16" s="8"/>
      <c r="L16" s="8"/>
      <c r="M16" s="8"/>
      <c r="N16" s="8"/>
      <c r="O16" s="8"/>
      <c r="P16" s="8"/>
      <c r="Q16" s="8"/>
      <c r="R16" s="8"/>
      <c r="S16" s="8"/>
      <c r="T16" s="8"/>
      <c r="U16" s="8"/>
      <c r="V16" s="8"/>
      <c r="W16" s="8"/>
      <c r="X16" s="8"/>
      <c r="Y16" s="8"/>
      <c r="Z16" s="8"/>
    </row>
    <row r="17" spans="1:26" ht="150.75" customHeight="1" x14ac:dyDescent="0.3">
      <c r="A17" s="82" t="s">
        <v>360</v>
      </c>
      <c r="B17" s="83" t="s">
        <v>68</v>
      </c>
      <c r="C17" s="83" t="s">
        <v>361</v>
      </c>
      <c r="D17" s="83" t="s">
        <v>362</v>
      </c>
      <c r="E17" s="83"/>
      <c r="F17" s="84" t="s">
        <v>321</v>
      </c>
      <c r="G17" s="85"/>
      <c r="H17" s="86" t="s">
        <v>69</v>
      </c>
      <c r="I17" s="89"/>
      <c r="J17" s="8"/>
      <c r="K17" s="8"/>
      <c r="L17" s="8"/>
      <c r="M17" s="8"/>
      <c r="N17" s="8"/>
      <c r="O17" s="8"/>
      <c r="P17" s="8"/>
      <c r="Q17" s="8"/>
      <c r="R17" s="8"/>
      <c r="S17" s="8"/>
      <c r="T17" s="8"/>
      <c r="U17" s="8"/>
      <c r="V17" s="8"/>
      <c r="W17" s="8"/>
      <c r="X17" s="8"/>
      <c r="Y17" s="8"/>
      <c r="Z17" s="8"/>
    </row>
    <row r="18" spans="1:26" ht="150.75" customHeight="1" x14ac:dyDescent="0.3">
      <c r="A18" s="82" t="s">
        <v>363</v>
      </c>
      <c r="B18" s="83" t="s">
        <v>70</v>
      </c>
      <c r="C18" s="83" t="s">
        <v>364</v>
      </c>
      <c r="D18" s="83" t="s">
        <v>365</v>
      </c>
      <c r="E18" s="83"/>
      <c r="F18" s="84" t="s">
        <v>321</v>
      </c>
      <c r="G18" s="85"/>
      <c r="H18" s="86"/>
      <c r="I18" s="89"/>
      <c r="J18" s="8"/>
      <c r="K18" s="8"/>
      <c r="L18" s="8"/>
      <c r="M18" s="8"/>
      <c r="N18" s="8"/>
      <c r="O18" s="8"/>
      <c r="P18" s="8"/>
      <c r="Q18" s="8"/>
      <c r="R18" s="8"/>
      <c r="S18" s="8"/>
      <c r="T18" s="8"/>
      <c r="U18" s="8"/>
      <c r="V18" s="8"/>
      <c r="W18" s="8"/>
      <c r="X18" s="8"/>
      <c r="Y18" s="8"/>
      <c r="Z18" s="8"/>
    </row>
    <row r="19" spans="1:26" ht="164.25" customHeight="1" x14ac:dyDescent="0.3">
      <c r="A19" s="82" t="s">
        <v>366</v>
      </c>
      <c r="B19" s="83" t="s">
        <v>71</v>
      </c>
      <c r="C19" s="83" t="s">
        <v>367</v>
      </c>
      <c r="D19" s="83" t="s">
        <v>368</v>
      </c>
      <c r="E19" s="83"/>
      <c r="F19" s="84" t="s">
        <v>323</v>
      </c>
      <c r="G19" s="85"/>
      <c r="H19" s="86"/>
      <c r="I19" s="89"/>
      <c r="J19" s="8"/>
      <c r="K19" s="8"/>
      <c r="L19" s="8"/>
      <c r="M19" s="8"/>
      <c r="N19" s="8"/>
      <c r="O19" s="8"/>
      <c r="P19" s="8"/>
      <c r="Q19" s="8"/>
      <c r="R19" s="8"/>
      <c r="S19" s="8"/>
      <c r="T19" s="8"/>
      <c r="U19" s="8"/>
      <c r="V19" s="8"/>
      <c r="W19" s="8"/>
      <c r="X19" s="8"/>
      <c r="Y19" s="8"/>
      <c r="Z19" s="8"/>
    </row>
    <row r="20" spans="1:26" ht="98.25" customHeight="1" x14ac:dyDescent="0.3">
      <c r="A20" s="82" t="s">
        <v>369</v>
      </c>
      <c r="B20" s="83" t="s">
        <v>72</v>
      </c>
      <c r="C20" s="83" t="s">
        <v>370</v>
      </c>
      <c r="D20" s="83" t="s">
        <v>371</v>
      </c>
      <c r="E20" s="83" t="s">
        <v>360</v>
      </c>
      <c r="F20" s="84" t="s">
        <v>321</v>
      </c>
      <c r="G20" s="85"/>
      <c r="H20" s="86"/>
      <c r="I20" s="89"/>
      <c r="J20" s="8"/>
      <c r="K20" s="8"/>
      <c r="L20" s="8"/>
      <c r="M20" s="8"/>
      <c r="N20" s="8"/>
      <c r="O20" s="8"/>
      <c r="P20" s="8"/>
      <c r="Q20" s="8"/>
      <c r="R20" s="8"/>
      <c r="S20" s="8"/>
      <c r="T20" s="8"/>
      <c r="U20" s="8"/>
      <c r="V20" s="8"/>
      <c r="W20" s="8"/>
      <c r="X20" s="8"/>
      <c r="Y20" s="8"/>
      <c r="Z20" s="8"/>
    </row>
    <row r="21" spans="1:26" ht="98.25" customHeight="1" x14ac:dyDescent="0.3">
      <c r="A21" s="82" t="s">
        <v>372</v>
      </c>
      <c r="B21" s="83" t="s">
        <v>73</v>
      </c>
      <c r="C21" s="83" t="s">
        <v>373</v>
      </c>
      <c r="D21" s="83" t="s">
        <v>374</v>
      </c>
      <c r="E21" s="83" t="s">
        <v>369</v>
      </c>
      <c r="F21" s="84" t="s">
        <v>323</v>
      </c>
      <c r="G21" s="85"/>
      <c r="H21" s="86"/>
      <c r="I21" s="89"/>
      <c r="J21" s="8"/>
      <c r="K21" s="8"/>
      <c r="L21" s="8"/>
      <c r="M21" s="8"/>
      <c r="N21" s="8"/>
      <c r="O21" s="8"/>
      <c r="P21" s="8"/>
      <c r="Q21" s="8"/>
      <c r="R21" s="8"/>
      <c r="S21" s="8"/>
      <c r="T21" s="8"/>
      <c r="U21" s="8"/>
      <c r="V21" s="8"/>
      <c r="W21" s="8"/>
      <c r="X21" s="8"/>
      <c r="Y21" s="8"/>
      <c r="Z21" s="8"/>
    </row>
    <row r="22" spans="1:26" ht="98.25" customHeight="1" x14ac:dyDescent="0.3">
      <c r="A22" s="82" t="s">
        <v>375</v>
      </c>
      <c r="B22" s="83" t="s">
        <v>74</v>
      </c>
      <c r="C22" s="83" t="s">
        <v>376</v>
      </c>
      <c r="D22" s="83" t="s">
        <v>377</v>
      </c>
      <c r="E22" s="83" t="s">
        <v>360</v>
      </c>
      <c r="F22" s="84" t="s">
        <v>321</v>
      </c>
      <c r="G22" s="85"/>
      <c r="H22" s="86"/>
      <c r="I22" s="89"/>
      <c r="J22" s="8"/>
      <c r="K22" s="8"/>
      <c r="L22" s="8"/>
      <c r="M22" s="8"/>
      <c r="N22" s="8"/>
      <c r="O22" s="8"/>
      <c r="P22" s="8"/>
      <c r="Q22" s="8"/>
      <c r="R22" s="8"/>
      <c r="S22" s="8"/>
      <c r="T22" s="8"/>
      <c r="U22" s="8"/>
      <c r="V22" s="8"/>
      <c r="W22" s="8"/>
      <c r="X22" s="8"/>
      <c r="Y22" s="8"/>
      <c r="Z22" s="8"/>
    </row>
    <row r="23" spans="1:26" ht="150.75" customHeight="1" x14ac:dyDescent="0.3">
      <c r="A23" s="82" t="s">
        <v>378</v>
      </c>
      <c r="B23" s="83" t="s">
        <v>75</v>
      </c>
      <c r="C23" s="83" t="s">
        <v>379</v>
      </c>
      <c r="D23" s="83" t="s">
        <v>380</v>
      </c>
      <c r="E23" s="83" t="s">
        <v>360</v>
      </c>
      <c r="F23" s="84" t="s">
        <v>321</v>
      </c>
      <c r="G23" s="85"/>
      <c r="H23" s="86"/>
      <c r="I23" s="89"/>
      <c r="J23" s="8"/>
      <c r="K23" s="8"/>
      <c r="L23" s="8"/>
      <c r="M23" s="8"/>
      <c r="N23" s="8"/>
      <c r="O23" s="8"/>
      <c r="P23" s="8"/>
      <c r="Q23" s="8"/>
      <c r="R23" s="8"/>
      <c r="S23" s="8"/>
      <c r="T23" s="8"/>
      <c r="U23" s="8"/>
      <c r="V23" s="8"/>
      <c r="W23" s="8"/>
      <c r="X23" s="8"/>
      <c r="Y23" s="8"/>
      <c r="Z23" s="8"/>
    </row>
    <row r="24" spans="1:26" ht="164.25" customHeight="1" x14ac:dyDescent="0.3">
      <c r="A24" s="82" t="s">
        <v>381</v>
      </c>
      <c r="B24" s="83" t="s">
        <v>76</v>
      </c>
      <c r="C24" s="83" t="s">
        <v>382</v>
      </c>
      <c r="D24" s="83" t="s">
        <v>383</v>
      </c>
      <c r="E24" s="83"/>
      <c r="F24" s="84" t="s">
        <v>321</v>
      </c>
      <c r="G24" s="85"/>
      <c r="H24" s="86"/>
      <c r="I24" s="89"/>
      <c r="J24" s="8"/>
      <c r="K24" s="8"/>
      <c r="L24" s="8"/>
      <c r="M24" s="8"/>
      <c r="N24" s="8"/>
      <c r="O24" s="8"/>
      <c r="P24" s="8"/>
      <c r="Q24" s="8"/>
      <c r="R24" s="8"/>
      <c r="S24" s="8"/>
      <c r="T24" s="8"/>
      <c r="U24" s="8"/>
      <c r="V24" s="8"/>
      <c r="W24" s="8"/>
      <c r="X24" s="8"/>
      <c r="Y24" s="8"/>
      <c r="Z24" s="8"/>
    </row>
    <row r="25" spans="1:26" ht="164.25" customHeight="1" x14ac:dyDescent="0.3">
      <c r="A25" s="82" t="s">
        <v>384</v>
      </c>
      <c r="B25" s="83" t="s">
        <v>77</v>
      </c>
      <c r="C25" s="83" t="s">
        <v>385</v>
      </c>
      <c r="D25" s="83" t="s">
        <v>386</v>
      </c>
      <c r="E25" s="83"/>
      <c r="F25" s="84" t="s">
        <v>321</v>
      </c>
      <c r="G25" s="85"/>
      <c r="H25" s="86"/>
      <c r="I25" s="89"/>
      <c r="J25" s="8"/>
      <c r="K25" s="8"/>
      <c r="L25" s="8"/>
      <c r="M25" s="8"/>
      <c r="N25" s="8"/>
      <c r="O25" s="8"/>
      <c r="P25" s="8"/>
      <c r="Q25" s="8"/>
      <c r="R25" s="8"/>
      <c r="S25" s="8"/>
      <c r="T25" s="8"/>
      <c r="U25" s="8"/>
      <c r="V25" s="8"/>
      <c r="W25" s="8"/>
      <c r="X25" s="8"/>
      <c r="Y25" s="8"/>
      <c r="Z25" s="8"/>
    </row>
    <row r="26" spans="1:26" ht="164.25" customHeight="1" x14ac:dyDescent="0.3">
      <c r="A26" s="82" t="s">
        <v>387</v>
      </c>
      <c r="B26" s="83" t="s">
        <v>78</v>
      </c>
      <c r="C26" s="83" t="s">
        <v>388</v>
      </c>
      <c r="D26" s="83" t="s">
        <v>389</v>
      </c>
      <c r="E26" s="83"/>
      <c r="F26" s="84" t="s">
        <v>321</v>
      </c>
      <c r="G26" s="85"/>
      <c r="H26" s="86"/>
      <c r="I26" s="89"/>
      <c r="J26" s="8"/>
      <c r="K26" s="8"/>
      <c r="L26" s="8"/>
      <c r="M26" s="8"/>
      <c r="N26" s="8"/>
      <c r="O26" s="8"/>
      <c r="P26" s="8"/>
      <c r="Q26" s="8"/>
      <c r="R26" s="8"/>
      <c r="S26" s="8"/>
      <c r="T26" s="8"/>
      <c r="U26" s="8"/>
      <c r="V26" s="8"/>
      <c r="W26" s="8"/>
      <c r="X26" s="8"/>
      <c r="Y26" s="8"/>
      <c r="Z26" s="8"/>
    </row>
    <row r="27" spans="1:26" ht="190.5" customHeight="1" x14ac:dyDescent="0.3">
      <c r="A27" s="82" t="s">
        <v>390</v>
      </c>
      <c r="B27" s="83" t="s">
        <v>79</v>
      </c>
      <c r="C27" s="83" t="s">
        <v>391</v>
      </c>
      <c r="D27" s="83" t="s">
        <v>392</v>
      </c>
      <c r="E27" s="83"/>
      <c r="F27" s="84" t="s">
        <v>321</v>
      </c>
      <c r="G27" s="85"/>
      <c r="H27" s="86"/>
      <c r="I27" s="89"/>
      <c r="J27" s="8"/>
      <c r="K27" s="8"/>
      <c r="L27" s="8"/>
      <c r="M27" s="8"/>
      <c r="N27" s="8"/>
      <c r="O27" s="8"/>
      <c r="P27" s="8"/>
      <c r="Q27" s="8"/>
      <c r="R27" s="8"/>
      <c r="S27" s="8"/>
      <c r="T27" s="8"/>
      <c r="U27" s="8"/>
      <c r="V27" s="8"/>
      <c r="W27" s="8"/>
      <c r="X27" s="8"/>
      <c r="Y27" s="8"/>
      <c r="Z27" s="8"/>
    </row>
    <row r="28" spans="1:26" ht="164.25" customHeight="1" x14ac:dyDescent="0.3">
      <c r="A28" s="82" t="s">
        <v>393</v>
      </c>
      <c r="B28" s="83" t="s">
        <v>80</v>
      </c>
      <c r="C28" s="83" t="s">
        <v>394</v>
      </c>
      <c r="D28" s="83" t="s">
        <v>395</v>
      </c>
      <c r="E28" s="83"/>
      <c r="F28" s="84" t="s">
        <v>321</v>
      </c>
      <c r="G28" s="85"/>
      <c r="H28" s="86"/>
      <c r="I28" s="89"/>
      <c r="J28" s="8"/>
      <c r="K28" s="8"/>
      <c r="L28" s="8"/>
      <c r="M28" s="8"/>
      <c r="N28" s="8"/>
      <c r="O28" s="8"/>
      <c r="P28" s="8"/>
      <c r="Q28" s="8"/>
      <c r="R28" s="8"/>
      <c r="S28" s="8"/>
      <c r="T28" s="8"/>
      <c r="U28" s="8"/>
      <c r="V28" s="8"/>
      <c r="W28" s="8"/>
      <c r="X28" s="8"/>
      <c r="Y28" s="8"/>
      <c r="Z28" s="8"/>
    </row>
    <row r="29" spans="1:26" ht="177" customHeight="1" x14ac:dyDescent="0.3">
      <c r="A29" s="82" t="s">
        <v>396</v>
      </c>
      <c r="B29" s="83" t="s">
        <v>81</v>
      </c>
      <c r="C29" s="83" t="s">
        <v>397</v>
      </c>
      <c r="D29" s="83" t="s">
        <v>398</v>
      </c>
      <c r="E29" s="83"/>
      <c r="F29" s="84" t="s">
        <v>321</v>
      </c>
      <c r="G29" s="85"/>
      <c r="H29" s="86"/>
      <c r="I29" s="89"/>
      <c r="J29" s="8"/>
      <c r="K29" s="8"/>
      <c r="L29" s="8"/>
      <c r="M29" s="8"/>
      <c r="N29" s="8"/>
      <c r="O29" s="8"/>
      <c r="P29" s="8"/>
      <c r="Q29" s="8"/>
      <c r="R29" s="8"/>
      <c r="S29" s="8"/>
      <c r="T29" s="8"/>
      <c r="U29" s="8"/>
      <c r="V29" s="8"/>
      <c r="W29" s="8"/>
      <c r="X29" s="8"/>
      <c r="Y29" s="8"/>
      <c r="Z29" s="8"/>
    </row>
    <row r="30" spans="1:26" ht="177" customHeight="1" x14ac:dyDescent="0.3">
      <c r="A30" s="82" t="s">
        <v>399</v>
      </c>
      <c r="B30" s="83" t="s">
        <v>82</v>
      </c>
      <c r="C30" s="83" t="s">
        <v>400</v>
      </c>
      <c r="D30" s="83" t="s">
        <v>401</v>
      </c>
      <c r="E30" s="83"/>
      <c r="F30" s="84" t="s">
        <v>321</v>
      </c>
      <c r="G30" s="85"/>
      <c r="H30" s="86"/>
      <c r="I30" s="89"/>
      <c r="J30" s="8"/>
      <c r="K30" s="8"/>
      <c r="L30" s="8"/>
      <c r="M30" s="8"/>
      <c r="N30" s="8"/>
      <c r="O30" s="8"/>
      <c r="P30" s="8"/>
      <c r="Q30" s="8"/>
      <c r="R30" s="8"/>
      <c r="S30" s="8"/>
      <c r="T30" s="8"/>
      <c r="U30" s="8"/>
      <c r="V30" s="8"/>
      <c r="W30" s="8"/>
      <c r="X30" s="8"/>
      <c r="Y30" s="8"/>
      <c r="Z30" s="8"/>
    </row>
    <row r="31" spans="1:26" ht="138" customHeight="1" x14ac:dyDescent="0.3">
      <c r="A31" s="82" t="s">
        <v>402</v>
      </c>
      <c r="B31" s="83" t="s">
        <v>84</v>
      </c>
      <c r="C31" s="83" t="s">
        <v>403</v>
      </c>
      <c r="D31" s="83" t="s">
        <v>404</v>
      </c>
      <c r="E31" s="83"/>
      <c r="F31" s="84" t="s">
        <v>321</v>
      </c>
      <c r="G31" s="85"/>
      <c r="H31" s="86"/>
      <c r="I31" s="89"/>
      <c r="J31" s="8"/>
      <c r="K31" s="8"/>
      <c r="L31" s="8"/>
      <c r="M31" s="8"/>
      <c r="N31" s="8"/>
      <c r="O31" s="8"/>
      <c r="P31" s="8"/>
      <c r="Q31" s="8"/>
      <c r="R31" s="8"/>
      <c r="S31" s="8"/>
      <c r="T31" s="8"/>
      <c r="U31" s="8"/>
      <c r="V31" s="8"/>
      <c r="W31" s="8"/>
      <c r="X31" s="8"/>
      <c r="Y31" s="8"/>
      <c r="Z31" s="8"/>
    </row>
    <row r="32" spans="1:26" ht="138" customHeight="1" x14ac:dyDescent="0.3">
      <c r="A32" s="82" t="s">
        <v>405</v>
      </c>
      <c r="B32" s="83" t="s">
        <v>85</v>
      </c>
      <c r="C32" s="83" t="s">
        <v>406</v>
      </c>
      <c r="D32" s="83" t="s">
        <v>407</v>
      </c>
      <c r="E32" s="83"/>
      <c r="F32" s="84" t="s">
        <v>321</v>
      </c>
      <c r="G32" s="85"/>
      <c r="H32" s="86"/>
      <c r="I32" s="89"/>
      <c r="J32" s="8"/>
      <c r="K32" s="8"/>
      <c r="L32" s="8"/>
      <c r="M32" s="8"/>
      <c r="N32" s="8"/>
      <c r="O32" s="8"/>
      <c r="P32" s="8"/>
      <c r="Q32" s="8"/>
      <c r="R32" s="8"/>
      <c r="S32" s="8"/>
      <c r="T32" s="8"/>
      <c r="U32" s="8"/>
      <c r="V32" s="8"/>
      <c r="W32" s="8"/>
      <c r="X32" s="8"/>
      <c r="Y32" s="8"/>
      <c r="Z32" s="8"/>
    </row>
    <row r="33" spans="1:26" ht="138" customHeight="1" x14ac:dyDescent="0.3">
      <c r="A33" s="82" t="s">
        <v>408</v>
      </c>
      <c r="B33" s="83" t="s">
        <v>86</v>
      </c>
      <c r="C33" s="83" t="s">
        <v>409</v>
      </c>
      <c r="D33" s="83" t="s">
        <v>410</v>
      </c>
      <c r="E33" s="83"/>
      <c r="F33" s="84" t="s">
        <v>321</v>
      </c>
      <c r="G33" s="85"/>
      <c r="H33" s="86"/>
      <c r="I33" s="89"/>
      <c r="J33" s="8"/>
      <c r="K33" s="8"/>
      <c r="L33" s="8"/>
      <c r="M33" s="8"/>
      <c r="N33" s="8"/>
      <c r="O33" s="8"/>
      <c r="P33" s="8"/>
      <c r="Q33" s="8"/>
      <c r="R33" s="8"/>
      <c r="S33" s="8"/>
      <c r="T33" s="8"/>
      <c r="U33" s="8"/>
      <c r="V33" s="8"/>
      <c r="W33" s="8"/>
      <c r="X33" s="8"/>
      <c r="Y33" s="8"/>
      <c r="Z33" s="8"/>
    </row>
    <row r="34" spans="1:26" ht="150.75" customHeight="1" x14ac:dyDescent="0.3">
      <c r="A34" s="82" t="s">
        <v>411</v>
      </c>
      <c r="B34" s="83" t="s">
        <v>87</v>
      </c>
      <c r="C34" s="83" t="s">
        <v>412</v>
      </c>
      <c r="D34" s="83" t="s">
        <v>413</v>
      </c>
      <c r="E34" s="83"/>
      <c r="F34" s="84" t="s">
        <v>321</v>
      </c>
      <c r="G34" s="85"/>
      <c r="H34" s="86"/>
      <c r="I34" s="89"/>
      <c r="J34" s="8"/>
      <c r="K34" s="8"/>
      <c r="L34" s="8"/>
      <c r="M34" s="8"/>
      <c r="N34" s="8"/>
      <c r="O34" s="8"/>
      <c r="P34" s="8"/>
      <c r="Q34" s="8"/>
      <c r="R34" s="8"/>
      <c r="S34" s="8"/>
      <c r="T34" s="8"/>
      <c r="U34" s="8"/>
      <c r="V34" s="8"/>
      <c r="W34" s="8"/>
      <c r="X34" s="8"/>
      <c r="Y34" s="8"/>
      <c r="Z34" s="8"/>
    </row>
    <row r="35" spans="1:26" ht="150.75" customHeight="1" x14ac:dyDescent="0.3">
      <c r="A35" s="82" t="s">
        <v>414</v>
      </c>
      <c r="B35" s="83" t="s">
        <v>88</v>
      </c>
      <c r="C35" s="83" t="s">
        <v>415</v>
      </c>
      <c r="D35" s="83" t="s">
        <v>416</v>
      </c>
      <c r="E35" s="83"/>
      <c r="F35" s="84" t="s">
        <v>321</v>
      </c>
      <c r="G35" s="85"/>
      <c r="H35" s="86"/>
      <c r="I35" s="89"/>
      <c r="J35" s="8"/>
      <c r="K35" s="8"/>
      <c r="L35" s="8"/>
      <c r="M35" s="8"/>
      <c r="N35" s="8"/>
      <c r="O35" s="8"/>
      <c r="P35" s="8"/>
      <c r="Q35" s="8"/>
      <c r="R35" s="8"/>
      <c r="S35" s="8"/>
      <c r="T35" s="8"/>
      <c r="U35" s="8"/>
      <c r="V35" s="8"/>
      <c r="W35" s="8"/>
      <c r="X35" s="8"/>
      <c r="Y35" s="8"/>
      <c r="Z35" s="8"/>
    </row>
    <row r="36" spans="1:26" ht="111" customHeight="1" x14ac:dyDescent="0.3">
      <c r="A36" s="82" t="s">
        <v>417</v>
      </c>
      <c r="B36" s="83" t="s">
        <v>89</v>
      </c>
      <c r="C36" s="83" t="s">
        <v>418</v>
      </c>
      <c r="D36" s="83" t="s">
        <v>419</v>
      </c>
      <c r="E36" s="83"/>
      <c r="F36" s="84" t="s">
        <v>321</v>
      </c>
      <c r="G36" s="85"/>
      <c r="H36" s="86"/>
      <c r="I36" s="89"/>
      <c r="J36" s="8"/>
      <c r="K36" s="8"/>
      <c r="L36" s="8"/>
      <c r="M36" s="8"/>
      <c r="N36" s="8"/>
      <c r="O36" s="8"/>
      <c r="P36" s="8"/>
      <c r="Q36" s="8"/>
      <c r="R36" s="8"/>
      <c r="S36" s="8"/>
      <c r="T36" s="8"/>
      <c r="U36" s="8"/>
      <c r="V36" s="8"/>
      <c r="W36" s="8"/>
      <c r="X36" s="8"/>
      <c r="Y36" s="8"/>
      <c r="Z36" s="8"/>
    </row>
    <row r="37" spans="1:26" ht="150.75" customHeight="1" x14ac:dyDescent="0.3">
      <c r="A37" s="82" t="s">
        <v>420</v>
      </c>
      <c r="B37" s="83" t="s">
        <v>90</v>
      </c>
      <c r="C37" s="83" t="s">
        <v>421</v>
      </c>
      <c r="D37" s="83" t="s">
        <v>422</v>
      </c>
      <c r="E37" s="83"/>
      <c r="F37" s="84" t="s">
        <v>321</v>
      </c>
      <c r="G37" s="85"/>
      <c r="H37" s="86"/>
      <c r="I37" s="89"/>
      <c r="J37" s="8"/>
      <c r="K37" s="8"/>
      <c r="L37" s="8"/>
      <c r="M37" s="8"/>
      <c r="N37" s="8"/>
      <c r="O37" s="8"/>
      <c r="P37" s="8"/>
      <c r="Q37" s="8"/>
      <c r="R37" s="8"/>
      <c r="S37" s="8"/>
      <c r="T37" s="8"/>
      <c r="U37" s="8"/>
      <c r="V37" s="8"/>
      <c r="W37" s="8"/>
      <c r="X37" s="8"/>
      <c r="Y37" s="8"/>
      <c r="Z37" s="8"/>
    </row>
    <row r="38" spans="1:26" ht="150.75" customHeight="1" x14ac:dyDescent="0.3">
      <c r="A38" s="82" t="s">
        <v>423</v>
      </c>
      <c r="B38" s="83" t="s">
        <v>91</v>
      </c>
      <c r="C38" s="83" t="s">
        <v>424</v>
      </c>
      <c r="D38" s="83" t="s">
        <v>425</v>
      </c>
      <c r="E38" s="83"/>
      <c r="F38" s="84" t="s">
        <v>323</v>
      </c>
      <c r="G38" s="85"/>
      <c r="H38" s="86" t="s">
        <v>92</v>
      </c>
      <c r="I38" s="89"/>
      <c r="J38" s="8"/>
      <c r="K38" s="8"/>
      <c r="L38" s="8"/>
      <c r="M38" s="8"/>
      <c r="N38" s="8"/>
      <c r="O38" s="8"/>
      <c r="P38" s="8"/>
      <c r="Q38" s="8"/>
      <c r="R38" s="8"/>
      <c r="S38" s="8"/>
      <c r="T38" s="8"/>
      <c r="U38" s="8"/>
      <c r="V38" s="8"/>
      <c r="W38" s="8"/>
      <c r="X38" s="8"/>
      <c r="Y38" s="8"/>
      <c r="Z38" s="8"/>
    </row>
    <row r="39" spans="1:26" ht="150.75" customHeight="1" x14ac:dyDescent="0.3">
      <c r="A39" s="82" t="s">
        <v>426</v>
      </c>
      <c r="B39" s="83" t="s">
        <v>93</v>
      </c>
      <c r="C39" s="83" t="s">
        <v>427</v>
      </c>
      <c r="D39" s="83" t="s">
        <v>428</v>
      </c>
      <c r="E39" s="83"/>
      <c r="F39" s="84" t="s">
        <v>323</v>
      </c>
      <c r="G39" s="85"/>
      <c r="H39" s="86"/>
      <c r="I39" s="89"/>
      <c r="J39" s="8"/>
      <c r="K39" s="8"/>
      <c r="L39" s="8"/>
      <c r="M39" s="8"/>
      <c r="N39" s="8"/>
      <c r="O39" s="8"/>
      <c r="P39" s="8"/>
      <c r="Q39" s="8"/>
      <c r="R39" s="8"/>
      <c r="S39" s="8"/>
      <c r="T39" s="8"/>
      <c r="U39" s="8"/>
      <c r="V39" s="8"/>
      <c r="W39" s="8"/>
      <c r="X39" s="8"/>
      <c r="Y39" s="8"/>
      <c r="Z39" s="8"/>
    </row>
    <row r="40" spans="1:26" ht="138" customHeight="1" x14ac:dyDescent="0.3">
      <c r="A40" s="82" t="s">
        <v>429</v>
      </c>
      <c r="B40" s="83" t="s">
        <v>95</v>
      </c>
      <c r="C40" s="83" t="s">
        <v>430</v>
      </c>
      <c r="D40" s="83" t="s">
        <v>431</v>
      </c>
      <c r="E40" s="83"/>
      <c r="F40" s="84" t="s">
        <v>321</v>
      </c>
      <c r="G40" s="85"/>
      <c r="H40" s="86"/>
      <c r="I40" s="89"/>
      <c r="J40" s="8"/>
      <c r="K40" s="8"/>
      <c r="L40" s="8"/>
      <c r="M40" s="8"/>
      <c r="N40" s="8"/>
      <c r="O40" s="8"/>
      <c r="P40" s="8"/>
      <c r="Q40" s="8"/>
      <c r="R40" s="8"/>
      <c r="S40" s="8"/>
      <c r="T40" s="8"/>
      <c r="U40" s="8"/>
      <c r="V40" s="8"/>
      <c r="W40" s="8"/>
      <c r="X40" s="8"/>
      <c r="Y40" s="8"/>
      <c r="Z40" s="8"/>
    </row>
    <row r="41" spans="1:26" ht="138" customHeight="1" x14ac:dyDescent="0.3">
      <c r="A41" s="82" t="s">
        <v>432</v>
      </c>
      <c r="B41" s="83" t="s">
        <v>96</v>
      </c>
      <c r="C41" s="83" t="s">
        <v>433</v>
      </c>
      <c r="D41" s="83" t="s">
        <v>431</v>
      </c>
      <c r="E41" s="83"/>
      <c r="F41" s="84" t="s">
        <v>321</v>
      </c>
      <c r="G41" s="85"/>
      <c r="H41" s="86" t="s">
        <v>97</v>
      </c>
      <c r="I41" s="89"/>
      <c r="J41" s="8"/>
      <c r="K41" s="8"/>
      <c r="L41" s="8"/>
      <c r="M41" s="8"/>
      <c r="N41" s="8"/>
      <c r="O41" s="8"/>
      <c r="P41" s="8"/>
      <c r="Q41" s="8"/>
      <c r="R41" s="8"/>
      <c r="S41" s="8"/>
      <c r="T41" s="8"/>
      <c r="U41" s="8"/>
      <c r="V41" s="8"/>
      <c r="W41" s="8"/>
      <c r="X41" s="8"/>
      <c r="Y41" s="8"/>
      <c r="Z41" s="8"/>
    </row>
    <row r="42" spans="1:26" ht="138" customHeight="1" x14ac:dyDescent="0.3">
      <c r="A42" s="82" t="s">
        <v>434</v>
      </c>
      <c r="B42" s="83" t="s">
        <v>98</v>
      </c>
      <c r="C42" s="83" t="s">
        <v>435</v>
      </c>
      <c r="D42" s="83" t="s">
        <v>431</v>
      </c>
      <c r="E42" s="83"/>
      <c r="F42" s="84" t="s">
        <v>321</v>
      </c>
      <c r="G42" s="85"/>
      <c r="H42" s="86"/>
      <c r="I42" s="89"/>
      <c r="J42" s="8"/>
      <c r="K42" s="8"/>
      <c r="L42" s="8"/>
      <c r="M42" s="8"/>
      <c r="N42" s="8"/>
      <c r="O42" s="8"/>
      <c r="P42" s="8"/>
      <c r="Q42" s="8"/>
      <c r="R42" s="8"/>
      <c r="S42" s="8"/>
      <c r="T42" s="8"/>
      <c r="U42" s="8"/>
      <c r="V42" s="8"/>
      <c r="W42" s="8"/>
      <c r="X42" s="8"/>
      <c r="Y42" s="8"/>
      <c r="Z42" s="8"/>
    </row>
    <row r="43" spans="1:26" ht="150.75" customHeight="1" x14ac:dyDescent="0.3">
      <c r="A43" s="82" t="s">
        <v>436</v>
      </c>
      <c r="B43" s="83" t="s">
        <v>99</v>
      </c>
      <c r="C43" s="83" t="s">
        <v>437</v>
      </c>
      <c r="D43" s="83" t="s">
        <v>431</v>
      </c>
      <c r="E43" s="83"/>
      <c r="F43" s="84" t="s">
        <v>323</v>
      </c>
      <c r="G43" s="85"/>
      <c r="H43" s="86"/>
      <c r="I43" s="89"/>
      <c r="J43" s="8"/>
      <c r="K43" s="8"/>
      <c r="L43" s="8"/>
      <c r="M43" s="8"/>
      <c r="N43" s="8"/>
      <c r="O43" s="8"/>
      <c r="P43" s="8"/>
      <c r="Q43" s="8"/>
      <c r="R43" s="8"/>
      <c r="S43" s="8"/>
      <c r="T43" s="8"/>
      <c r="U43" s="8"/>
      <c r="V43" s="8"/>
      <c r="W43" s="8"/>
      <c r="X43" s="8"/>
      <c r="Y43" s="8"/>
      <c r="Z43" s="8"/>
    </row>
    <row r="44" spans="1:26" ht="150.75" customHeight="1" x14ac:dyDescent="0.3">
      <c r="A44" s="82" t="s">
        <v>438</v>
      </c>
      <c r="B44" s="83" t="s">
        <v>100</v>
      </c>
      <c r="C44" s="83" t="s">
        <v>439</v>
      </c>
      <c r="D44" s="83" t="s">
        <v>431</v>
      </c>
      <c r="E44" s="83"/>
      <c r="F44" s="84" t="s">
        <v>323</v>
      </c>
      <c r="G44" s="85"/>
      <c r="H44" s="86"/>
      <c r="I44" s="89"/>
      <c r="J44" s="8"/>
      <c r="K44" s="8"/>
      <c r="L44" s="8"/>
      <c r="M44" s="8"/>
      <c r="N44" s="8"/>
      <c r="O44" s="8"/>
      <c r="P44" s="8"/>
      <c r="Q44" s="8"/>
      <c r="R44" s="8"/>
      <c r="S44" s="8"/>
      <c r="T44" s="8"/>
      <c r="U44" s="8"/>
      <c r="V44" s="8"/>
      <c r="W44" s="8"/>
      <c r="X44" s="8"/>
      <c r="Y44" s="8"/>
      <c r="Z44" s="8"/>
    </row>
    <row r="45" spans="1:26" ht="150.75" customHeight="1" x14ac:dyDescent="0.3">
      <c r="A45" s="82" t="s">
        <v>440</v>
      </c>
      <c r="B45" s="83" t="s">
        <v>101</v>
      </c>
      <c r="C45" s="83" t="s">
        <v>441</v>
      </c>
      <c r="D45" s="83" t="s">
        <v>442</v>
      </c>
      <c r="E45" s="83"/>
      <c r="F45" s="84" t="s">
        <v>323</v>
      </c>
      <c r="G45" s="85"/>
      <c r="H45" s="86"/>
      <c r="I45" s="89"/>
      <c r="J45" s="8"/>
      <c r="K45" s="8"/>
      <c r="L45" s="8"/>
      <c r="M45" s="8"/>
      <c r="N45" s="8"/>
      <c r="O45" s="8"/>
      <c r="P45" s="8"/>
      <c r="Q45" s="8"/>
      <c r="R45" s="8"/>
      <c r="S45" s="8"/>
      <c r="T45" s="8"/>
      <c r="U45" s="8"/>
      <c r="V45" s="8"/>
      <c r="W45" s="8"/>
      <c r="X45" s="8"/>
      <c r="Y45" s="8"/>
      <c r="Z45" s="8"/>
    </row>
    <row r="46" spans="1:26" ht="150.75" customHeight="1" x14ac:dyDescent="0.3">
      <c r="A46" s="82" t="s">
        <v>443</v>
      </c>
      <c r="B46" s="83" t="s">
        <v>102</v>
      </c>
      <c r="C46" s="83" t="s">
        <v>444</v>
      </c>
      <c r="D46" s="83" t="s">
        <v>445</v>
      </c>
      <c r="E46" s="83" t="s">
        <v>360</v>
      </c>
      <c r="F46" s="84" t="s">
        <v>321</v>
      </c>
      <c r="G46" s="85"/>
      <c r="H46" s="86"/>
      <c r="I46" s="89"/>
      <c r="J46" s="8"/>
      <c r="K46" s="8"/>
      <c r="L46" s="8"/>
      <c r="M46" s="8"/>
      <c r="N46" s="8"/>
      <c r="O46" s="8"/>
      <c r="P46" s="8"/>
      <c r="Q46" s="8"/>
      <c r="R46" s="8"/>
      <c r="S46" s="8"/>
      <c r="T46" s="8"/>
      <c r="U46" s="8"/>
      <c r="V46" s="8"/>
      <c r="W46" s="8"/>
      <c r="X46" s="8"/>
      <c r="Y46" s="8"/>
      <c r="Z46" s="8"/>
    </row>
    <row r="47" spans="1:26" ht="164.25" customHeight="1" x14ac:dyDescent="0.3">
      <c r="A47" s="82" t="s">
        <v>446</v>
      </c>
      <c r="B47" s="83" t="s">
        <v>103</v>
      </c>
      <c r="C47" s="83" t="s">
        <v>447</v>
      </c>
      <c r="D47" s="83" t="s">
        <v>445</v>
      </c>
      <c r="E47" s="83" t="s">
        <v>360</v>
      </c>
      <c r="F47" s="84" t="s">
        <v>321</v>
      </c>
      <c r="G47" s="85"/>
      <c r="H47" s="86"/>
      <c r="I47" s="89"/>
      <c r="J47" s="8"/>
      <c r="K47" s="8"/>
      <c r="L47" s="8"/>
      <c r="M47" s="8"/>
      <c r="N47" s="8"/>
      <c r="O47" s="8"/>
      <c r="P47" s="8"/>
      <c r="Q47" s="8"/>
      <c r="R47" s="8"/>
      <c r="S47" s="8"/>
      <c r="T47" s="8"/>
      <c r="U47" s="8"/>
      <c r="V47" s="8"/>
      <c r="W47" s="8"/>
      <c r="X47" s="8"/>
      <c r="Y47" s="8"/>
      <c r="Z47" s="8"/>
    </row>
    <row r="48" spans="1:26" ht="150.75" customHeight="1" x14ac:dyDescent="0.3">
      <c r="A48" s="82" t="s">
        <v>448</v>
      </c>
      <c r="B48" s="83" t="s">
        <v>105</v>
      </c>
      <c r="C48" s="83" t="s">
        <v>449</v>
      </c>
      <c r="D48" s="83" t="s">
        <v>450</v>
      </c>
      <c r="E48" s="83"/>
      <c r="F48" s="84" t="s">
        <v>321</v>
      </c>
      <c r="G48" s="85"/>
      <c r="H48" s="86"/>
      <c r="I48" s="89"/>
      <c r="J48" s="8"/>
      <c r="K48" s="8"/>
      <c r="L48" s="8"/>
      <c r="M48" s="8"/>
      <c r="N48" s="8"/>
      <c r="O48" s="8"/>
      <c r="P48" s="8"/>
      <c r="Q48" s="8"/>
      <c r="R48" s="8"/>
      <c r="S48" s="8"/>
      <c r="T48" s="8"/>
      <c r="U48" s="8"/>
      <c r="V48" s="8"/>
      <c r="W48" s="8"/>
      <c r="X48" s="8"/>
      <c r="Y48" s="8"/>
      <c r="Z48" s="8"/>
    </row>
    <row r="49" spans="1:26" ht="150.75" customHeight="1" x14ac:dyDescent="0.3">
      <c r="A49" s="82" t="s">
        <v>451</v>
      </c>
      <c r="B49" s="83" t="s">
        <v>106</v>
      </c>
      <c r="C49" s="83" t="s">
        <v>452</v>
      </c>
      <c r="D49" s="83" t="s">
        <v>453</v>
      </c>
      <c r="E49" s="83"/>
      <c r="F49" s="84" t="s">
        <v>321</v>
      </c>
      <c r="G49" s="85"/>
      <c r="H49" s="86"/>
      <c r="I49" s="89"/>
      <c r="J49" s="8"/>
      <c r="K49" s="8"/>
      <c r="L49" s="8"/>
      <c r="M49" s="8"/>
      <c r="N49" s="8"/>
      <c r="O49" s="8"/>
      <c r="P49" s="8"/>
      <c r="Q49" s="8"/>
      <c r="R49" s="8"/>
      <c r="S49" s="8"/>
      <c r="T49" s="8"/>
      <c r="U49" s="8"/>
      <c r="V49" s="8"/>
      <c r="W49" s="8"/>
      <c r="X49" s="8"/>
      <c r="Y49" s="8"/>
      <c r="Z49" s="8"/>
    </row>
    <row r="50" spans="1:26" ht="150.75" customHeight="1" x14ac:dyDescent="0.3">
      <c r="A50" s="82" t="s">
        <v>454</v>
      </c>
      <c r="B50" s="83" t="s">
        <v>107</v>
      </c>
      <c r="C50" s="83" t="s">
        <v>455</v>
      </c>
      <c r="D50" s="83" t="s">
        <v>453</v>
      </c>
      <c r="E50" s="83"/>
      <c r="F50" s="84" t="s">
        <v>323</v>
      </c>
      <c r="G50" s="85"/>
      <c r="H50" s="86"/>
      <c r="I50" s="89"/>
      <c r="J50" s="8"/>
      <c r="K50" s="8"/>
      <c r="L50" s="8"/>
      <c r="M50" s="8"/>
      <c r="N50" s="8"/>
      <c r="O50" s="8"/>
      <c r="P50" s="8"/>
      <c r="Q50" s="8"/>
      <c r="R50" s="8"/>
      <c r="S50" s="8"/>
      <c r="T50" s="8"/>
      <c r="U50" s="8"/>
      <c r="V50" s="8"/>
      <c r="W50" s="8"/>
      <c r="X50" s="8"/>
      <c r="Y50" s="8"/>
      <c r="Z50" s="8"/>
    </row>
    <row r="51" spans="1:26" ht="150.75" customHeight="1" x14ac:dyDescent="0.3">
      <c r="A51" s="82" t="s">
        <v>456</v>
      </c>
      <c r="B51" s="83" t="s">
        <v>108</v>
      </c>
      <c r="C51" s="83" t="s">
        <v>457</v>
      </c>
      <c r="D51" s="83" t="s">
        <v>450</v>
      </c>
      <c r="E51" s="83"/>
      <c r="F51" s="84" t="s">
        <v>323</v>
      </c>
      <c r="G51" s="85"/>
      <c r="H51" s="86"/>
      <c r="I51" s="89"/>
      <c r="J51" s="8"/>
      <c r="K51" s="8"/>
      <c r="L51" s="8"/>
      <c r="M51" s="8"/>
      <c r="N51" s="8"/>
      <c r="O51" s="8"/>
      <c r="P51" s="8"/>
      <c r="Q51" s="8"/>
      <c r="R51" s="8"/>
      <c r="S51" s="8"/>
      <c r="T51" s="8"/>
      <c r="U51" s="8"/>
      <c r="V51" s="8"/>
      <c r="W51" s="8"/>
      <c r="X51" s="8"/>
      <c r="Y51" s="8"/>
      <c r="Z51" s="8"/>
    </row>
    <row r="52" spans="1:26" ht="150.75" customHeight="1" x14ac:dyDescent="0.3">
      <c r="A52" s="82" t="s">
        <v>458</v>
      </c>
      <c r="B52" s="83" t="s">
        <v>109</v>
      </c>
      <c r="C52" s="83" t="s">
        <v>459</v>
      </c>
      <c r="D52" s="83" t="s">
        <v>460</v>
      </c>
      <c r="E52" s="83"/>
      <c r="F52" s="84" t="s">
        <v>321</v>
      </c>
      <c r="G52" s="85"/>
      <c r="H52" s="86"/>
      <c r="I52" s="89"/>
      <c r="J52" s="8"/>
      <c r="K52" s="8"/>
      <c r="L52" s="8"/>
      <c r="M52" s="8"/>
      <c r="N52" s="8"/>
      <c r="O52" s="8"/>
      <c r="P52" s="8"/>
      <c r="Q52" s="8"/>
      <c r="R52" s="8"/>
      <c r="S52" s="8"/>
      <c r="T52" s="8"/>
      <c r="U52" s="8"/>
      <c r="V52" s="8"/>
      <c r="W52" s="8"/>
      <c r="X52" s="8"/>
      <c r="Y52" s="8"/>
      <c r="Z52" s="8"/>
    </row>
    <row r="53" spans="1:26" ht="150.75" customHeight="1" x14ac:dyDescent="0.3">
      <c r="A53" s="82" t="s">
        <v>461</v>
      </c>
      <c r="B53" s="83" t="s">
        <v>110</v>
      </c>
      <c r="C53" s="83" t="s">
        <v>462</v>
      </c>
      <c r="D53" s="83" t="s">
        <v>463</v>
      </c>
      <c r="E53" s="83"/>
      <c r="F53" s="84" t="s">
        <v>321</v>
      </c>
      <c r="G53" s="85"/>
      <c r="H53" s="86"/>
      <c r="I53" s="89"/>
      <c r="J53" s="8"/>
      <c r="K53" s="8"/>
      <c r="L53" s="8"/>
      <c r="M53" s="8"/>
      <c r="N53" s="8"/>
      <c r="O53" s="8"/>
      <c r="P53" s="8"/>
      <c r="Q53" s="8"/>
      <c r="R53" s="8"/>
      <c r="S53" s="8"/>
      <c r="T53" s="8"/>
      <c r="U53" s="8"/>
      <c r="V53" s="8"/>
      <c r="W53" s="8"/>
      <c r="X53" s="8"/>
      <c r="Y53" s="8"/>
      <c r="Z53" s="8"/>
    </row>
    <row r="54" spans="1:26" ht="150.75" customHeight="1" x14ac:dyDescent="0.3">
      <c r="A54" s="82" t="s">
        <v>464</v>
      </c>
      <c r="B54" s="83" t="s">
        <v>111</v>
      </c>
      <c r="C54" s="83" t="s">
        <v>465</v>
      </c>
      <c r="D54" s="83" t="s">
        <v>453</v>
      </c>
      <c r="E54" s="83"/>
      <c r="F54" s="84" t="s">
        <v>323</v>
      </c>
      <c r="G54" s="85"/>
      <c r="H54" s="86" t="s">
        <v>112</v>
      </c>
      <c r="I54" s="89"/>
      <c r="J54" s="8"/>
      <c r="K54" s="8"/>
      <c r="L54" s="8"/>
      <c r="M54" s="8"/>
      <c r="N54" s="8"/>
      <c r="O54" s="8"/>
      <c r="P54" s="8"/>
      <c r="Q54" s="8"/>
      <c r="R54" s="8"/>
      <c r="S54" s="8"/>
      <c r="T54" s="8"/>
      <c r="U54" s="8"/>
      <c r="V54" s="8"/>
      <c r="W54" s="8"/>
      <c r="X54" s="8"/>
      <c r="Y54" s="8"/>
      <c r="Z54" s="8"/>
    </row>
    <row r="55" spans="1:26" ht="150.75" customHeight="1" x14ac:dyDescent="0.3">
      <c r="A55" s="82" t="s">
        <v>466</v>
      </c>
      <c r="B55" s="83" t="s">
        <v>114</v>
      </c>
      <c r="C55" s="83" t="s">
        <v>467</v>
      </c>
      <c r="D55" s="83" t="s">
        <v>468</v>
      </c>
      <c r="E55" s="83"/>
      <c r="F55" s="84" t="s">
        <v>321</v>
      </c>
      <c r="G55" s="85"/>
      <c r="H55" s="86"/>
      <c r="I55" s="89"/>
      <c r="J55" s="8"/>
      <c r="K55" s="8"/>
      <c r="L55" s="8"/>
      <c r="M55" s="8"/>
      <c r="N55" s="8"/>
      <c r="O55" s="8"/>
      <c r="P55" s="8"/>
      <c r="Q55" s="8"/>
      <c r="R55" s="8"/>
      <c r="S55" s="8"/>
      <c r="T55" s="8"/>
      <c r="U55" s="8"/>
      <c r="V55" s="8"/>
      <c r="W55" s="8"/>
      <c r="X55" s="8"/>
      <c r="Y55" s="8"/>
      <c r="Z55" s="8"/>
    </row>
    <row r="56" spans="1:26" ht="164.25" customHeight="1" x14ac:dyDescent="0.3">
      <c r="A56" s="82" t="s">
        <v>469</v>
      </c>
      <c r="B56" s="83" t="s">
        <v>115</v>
      </c>
      <c r="C56" s="83" t="s">
        <v>470</v>
      </c>
      <c r="D56" s="83" t="s">
        <v>471</v>
      </c>
      <c r="E56" s="83"/>
      <c r="F56" s="84" t="s">
        <v>323</v>
      </c>
      <c r="G56" s="85"/>
      <c r="H56" s="86" t="s">
        <v>116</v>
      </c>
      <c r="I56" s="89"/>
      <c r="J56" s="8"/>
      <c r="K56" s="8"/>
      <c r="L56" s="8"/>
      <c r="M56" s="8"/>
      <c r="N56" s="8"/>
      <c r="O56" s="8"/>
      <c r="P56" s="8"/>
      <c r="Q56" s="8"/>
      <c r="R56" s="8"/>
      <c r="S56" s="8"/>
      <c r="T56" s="8"/>
      <c r="U56" s="8"/>
      <c r="V56" s="8"/>
      <c r="W56" s="8"/>
      <c r="X56" s="8"/>
      <c r="Y56" s="8"/>
      <c r="Z56" s="8"/>
    </row>
    <row r="57" spans="1:26" ht="164.25" customHeight="1" x14ac:dyDescent="0.3">
      <c r="A57" s="82" t="s">
        <v>472</v>
      </c>
      <c r="B57" s="83" t="s">
        <v>117</v>
      </c>
      <c r="C57" s="83" t="s">
        <v>473</v>
      </c>
      <c r="D57" s="83" t="s">
        <v>474</v>
      </c>
      <c r="E57" s="83"/>
      <c r="F57" s="84" t="s">
        <v>323</v>
      </c>
      <c r="G57" s="85"/>
      <c r="H57" s="86"/>
      <c r="I57" s="89"/>
      <c r="J57" s="8"/>
      <c r="K57" s="8"/>
      <c r="L57" s="8"/>
      <c r="M57" s="8"/>
      <c r="N57" s="8"/>
      <c r="O57" s="8"/>
      <c r="P57" s="8"/>
      <c r="Q57" s="8"/>
      <c r="R57" s="8"/>
      <c r="S57" s="8"/>
      <c r="T57" s="8"/>
      <c r="U57" s="8"/>
      <c r="V57" s="8"/>
      <c r="W57" s="8"/>
      <c r="X57" s="8"/>
      <c r="Y57" s="8"/>
      <c r="Z57" s="8"/>
    </row>
    <row r="58" spans="1:26" ht="190.5" customHeight="1" x14ac:dyDescent="0.3">
      <c r="A58" s="82" t="s">
        <v>475</v>
      </c>
      <c r="B58" s="83" t="s">
        <v>119</v>
      </c>
      <c r="C58" s="83" t="s">
        <v>476</v>
      </c>
      <c r="D58" s="83" t="s">
        <v>477</v>
      </c>
      <c r="E58" s="83"/>
      <c r="F58" s="84" t="s">
        <v>323</v>
      </c>
      <c r="G58" s="85"/>
      <c r="H58" s="86"/>
      <c r="I58" s="89"/>
      <c r="J58" s="8"/>
      <c r="K58" s="8"/>
      <c r="L58" s="8"/>
      <c r="M58" s="8"/>
      <c r="N58" s="8"/>
      <c r="O58" s="8"/>
      <c r="P58" s="8"/>
      <c r="Q58" s="8"/>
      <c r="R58" s="8"/>
      <c r="S58" s="8"/>
      <c r="T58" s="8"/>
      <c r="U58" s="8"/>
      <c r="V58" s="8"/>
      <c r="W58" s="8"/>
      <c r="X58" s="8"/>
      <c r="Y58" s="8"/>
      <c r="Z58" s="8"/>
    </row>
    <row r="59" spans="1:26" ht="190.5" customHeight="1" x14ac:dyDescent="0.3">
      <c r="A59" s="82" t="s">
        <v>478</v>
      </c>
      <c r="B59" s="83" t="s">
        <v>120</v>
      </c>
      <c r="C59" s="83" t="s">
        <v>479</v>
      </c>
      <c r="D59" s="83" t="s">
        <v>480</v>
      </c>
      <c r="E59" s="83"/>
      <c r="F59" s="84" t="s">
        <v>323</v>
      </c>
      <c r="G59" s="85"/>
      <c r="H59" s="86"/>
      <c r="I59" s="89"/>
      <c r="J59" s="8"/>
      <c r="K59" s="8"/>
      <c r="L59" s="8"/>
      <c r="M59" s="8"/>
      <c r="N59" s="8"/>
      <c r="O59" s="8"/>
      <c r="P59" s="8"/>
      <c r="Q59" s="8"/>
      <c r="R59" s="8"/>
      <c r="S59" s="8"/>
      <c r="T59" s="8"/>
      <c r="U59" s="8"/>
      <c r="V59" s="8"/>
      <c r="W59" s="8"/>
      <c r="X59" s="8"/>
      <c r="Y59" s="8"/>
      <c r="Z59" s="8"/>
    </row>
    <row r="60" spans="1:26" ht="243" customHeight="1" x14ac:dyDescent="0.3">
      <c r="A60" s="82" t="s">
        <v>481</v>
      </c>
      <c r="B60" s="83" t="s">
        <v>121</v>
      </c>
      <c r="C60" s="83" t="s">
        <v>482</v>
      </c>
      <c r="D60" s="83" t="s">
        <v>483</v>
      </c>
      <c r="E60" s="83"/>
      <c r="F60" s="84" t="s">
        <v>323</v>
      </c>
      <c r="G60" s="85"/>
      <c r="H60" s="86"/>
      <c r="I60" s="89"/>
      <c r="J60" s="8"/>
      <c r="K60" s="8"/>
      <c r="L60" s="8"/>
      <c r="M60" s="8"/>
      <c r="N60" s="8"/>
      <c r="O60" s="8"/>
      <c r="P60" s="8"/>
      <c r="Q60" s="8"/>
      <c r="R60" s="8"/>
      <c r="S60" s="8"/>
      <c r="T60" s="8"/>
      <c r="U60" s="8"/>
      <c r="V60" s="8"/>
      <c r="W60" s="8"/>
      <c r="X60" s="8"/>
      <c r="Y60" s="8"/>
      <c r="Z60" s="8"/>
    </row>
    <row r="61" spans="1:26" ht="216.75" customHeight="1" x14ac:dyDescent="0.3">
      <c r="A61" s="82" t="s">
        <v>484</v>
      </c>
      <c r="B61" s="83" t="s">
        <v>122</v>
      </c>
      <c r="C61" s="83" t="s">
        <v>485</v>
      </c>
      <c r="D61" s="83" t="s">
        <v>486</v>
      </c>
      <c r="E61" s="83"/>
      <c r="F61" s="84" t="s">
        <v>323</v>
      </c>
      <c r="G61" s="85"/>
      <c r="H61" s="86"/>
      <c r="I61" s="89"/>
      <c r="J61" s="8"/>
      <c r="K61" s="8"/>
      <c r="L61" s="8"/>
      <c r="M61" s="8"/>
      <c r="N61" s="8"/>
      <c r="O61" s="8"/>
      <c r="P61" s="8"/>
      <c r="Q61" s="8"/>
      <c r="R61" s="8"/>
      <c r="S61" s="8"/>
      <c r="T61" s="8"/>
      <c r="U61" s="8"/>
      <c r="V61" s="8"/>
      <c r="W61" s="8"/>
      <c r="X61" s="8"/>
      <c r="Y61" s="8"/>
      <c r="Z61" s="8"/>
    </row>
    <row r="62" spans="1:26" ht="177" customHeight="1" x14ac:dyDescent="0.3">
      <c r="A62" s="82" t="s">
        <v>487</v>
      </c>
      <c r="B62" s="83" t="s">
        <v>124</v>
      </c>
      <c r="C62" s="83" t="s">
        <v>488</v>
      </c>
      <c r="D62" s="83" t="s">
        <v>489</v>
      </c>
      <c r="E62" s="83"/>
      <c r="F62" s="84" t="s">
        <v>323</v>
      </c>
      <c r="G62" s="85"/>
      <c r="H62" s="86"/>
      <c r="I62" s="89"/>
      <c r="J62" s="8"/>
      <c r="K62" s="8"/>
      <c r="L62" s="8"/>
      <c r="M62" s="8"/>
      <c r="N62" s="8"/>
      <c r="O62" s="8"/>
      <c r="P62" s="8"/>
      <c r="Q62" s="8"/>
      <c r="R62" s="8"/>
      <c r="S62" s="8"/>
      <c r="T62" s="8"/>
      <c r="U62" s="8"/>
      <c r="V62" s="8"/>
      <c r="W62" s="8"/>
      <c r="X62" s="8"/>
      <c r="Y62" s="8"/>
      <c r="Z62" s="8"/>
    </row>
    <row r="63" spans="1:26" ht="164.25" customHeight="1" x14ac:dyDescent="0.3">
      <c r="A63" s="82" t="s">
        <v>490</v>
      </c>
      <c r="B63" s="83" t="s">
        <v>125</v>
      </c>
      <c r="C63" s="83" t="s">
        <v>491</v>
      </c>
      <c r="D63" s="83" t="s">
        <v>492</v>
      </c>
      <c r="E63" s="83"/>
      <c r="F63" s="84" t="s">
        <v>321</v>
      </c>
      <c r="G63" s="85"/>
      <c r="H63" s="86"/>
      <c r="I63" s="89"/>
      <c r="J63" s="8"/>
      <c r="K63" s="8"/>
      <c r="L63" s="8"/>
      <c r="M63" s="8"/>
      <c r="N63" s="8"/>
      <c r="O63" s="8"/>
      <c r="P63" s="8"/>
      <c r="Q63" s="8"/>
      <c r="R63" s="8"/>
      <c r="S63" s="8"/>
      <c r="T63" s="8"/>
      <c r="U63" s="8"/>
      <c r="V63" s="8"/>
      <c r="W63" s="8"/>
      <c r="X63" s="8"/>
      <c r="Y63" s="8"/>
      <c r="Z63" s="8"/>
    </row>
    <row r="64" spans="1:26" ht="138" customHeight="1" x14ac:dyDescent="0.3">
      <c r="A64" s="82" t="s">
        <v>493</v>
      </c>
      <c r="B64" s="83" t="s">
        <v>126</v>
      </c>
      <c r="C64" s="83" t="s">
        <v>494</v>
      </c>
      <c r="D64" s="83" t="s">
        <v>495</v>
      </c>
      <c r="E64" s="83"/>
      <c r="F64" s="84" t="s">
        <v>323</v>
      </c>
      <c r="G64" s="85"/>
      <c r="H64" s="86"/>
      <c r="I64" s="89"/>
      <c r="J64" s="8"/>
      <c r="K64" s="8"/>
      <c r="L64" s="8"/>
      <c r="M64" s="8"/>
      <c r="N64" s="8"/>
      <c r="O64" s="8"/>
      <c r="P64" s="8"/>
      <c r="Q64" s="8"/>
      <c r="R64" s="8"/>
      <c r="S64" s="8"/>
      <c r="T64" s="8"/>
      <c r="U64" s="8"/>
      <c r="V64" s="8"/>
      <c r="W64" s="8"/>
      <c r="X64" s="8"/>
      <c r="Y64" s="8"/>
      <c r="Z64" s="8"/>
    </row>
    <row r="65" spans="1:26" ht="150.75" customHeight="1" x14ac:dyDescent="0.3">
      <c r="A65" s="82" t="s">
        <v>496</v>
      </c>
      <c r="B65" s="83" t="s">
        <v>127</v>
      </c>
      <c r="C65" s="83" t="s">
        <v>497</v>
      </c>
      <c r="D65" s="83" t="s">
        <v>498</v>
      </c>
      <c r="E65" s="83"/>
      <c r="F65" s="84" t="s">
        <v>321</v>
      </c>
      <c r="G65" s="85"/>
      <c r="H65" s="86"/>
      <c r="I65" s="89"/>
      <c r="J65" s="8"/>
      <c r="K65" s="8"/>
      <c r="L65" s="8"/>
      <c r="M65" s="8"/>
      <c r="N65" s="8"/>
      <c r="O65" s="8"/>
      <c r="P65" s="8"/>
      <c r="Q65" s="8"/>
      <c r="R65" s="8"/>
      <c r="S65" s="8"/>
      <c r="T65" s="8"/>
      <c r="U65" s="8"/>
      <c r="V65" s="8"/>
      <c r="W65" s="8"/>
      <c r="X65" s="8"/>
      <c r="Y65" s="8"/>
      <c r="Z65" s="8"/>
    </row>
    <row r="66" spans="1:26" ht="138" customHeight="1" x14ac:dyDescent="0.3">
      <c r="A66" s="82" t="s">
        <v>499</v>
      </c>
      <c r="B66" s="83" t="s">
        <v>128</v>
      </c>
      <c r="C66" s="83" t="s">
        <v>500</v>
      </c>
      <c r="D66" s="83" t="s">
        <v>501</v>
      </c>
      <c r="E66" s="83"/>
      <c r="F66" s="84" t="s">
        <v>321</v>
      </c>
      <c r="G66" s="85"/>
      <c r="H66" s="86"/>
      <c r="I66" s="89"/>
      <c r="J66" s="8"/>
      <c r="K66" s="8"/>
      <c r="L66" s="8"/>
      <c r="M66" s="8"/>
      <c r="N66" s="8"/>
      <c r="O66" s="8"/>
      <c r="P66" s="8"/>
      <c r="Q66" s="8"/>
      <c r="R66" s="8"/>
      <c r="S66" s="8"/>
      <c r="T66" s="8"/>
      <c r="U66" s="8"/>
      <c r="V66" s="8"/>
      <c r="W66" s="8"/>
      <c r="X66" s="8"/>
      <c r="Y66" s="8"/>
      <c r="Z66" s="8"/>
    </row>
    <row r="67" spans="1:26" ht="138" customHeight="1" x14ac:dyDescent="0.3">
      <c r="A67" s="82" t="s">
        <v>502</v>
      </c>
      <c r="B67" s="83" t="s">
        <v>129</v>
      </c>
      <c r="C67" s="83" t="s">
        <v>503</v>
      </c>
      <c r="D67" s="83" t="s">
        <v>504</v>
      </c>
      <c r="E67" s="83"/>
      <c r="F67" s="84" t="s">
        <v>321</v>
      </c>
      <c r="G67" s="85"/>
      <c r="H67" s="86"/>
      <c r="I67" s="89"/>
      <c r="J67" s="8"/>
      <c r="K67" s="8"/>
      <c r="L67" s="8"/>
      <c r="M67" s="8"/>
      <c r="N67" s="8"/>
      <c r="O67" s="8"/>
      <c r="P67" s="8"/>
      <c r="Q67" s="8"/>
      <c r="R67" s="8"/>
      <c r="S67" s="8"/>
      <c r="T67" s="8"/>
      <c r="U67" s="8"/>
      <c r="V67" s="8"/>
      <c r="W67" s="8"/>
      <c r="X67" s="8"/>
      <c r="Y67" s="8"/>
      <c r="Z67" s="8"/>
    </row>
    <row r="68" spans="1:26" ht="45" customHeight="1" x14ac:dyDescent="0.3">
      <c r="A68" s="82" t="s">
        <v>505</v>
      </c>
      <c r="B68" s="83" t="s">
        <v>130</v>
      </c>
      <c r="C68" s="83" t="s">
        <v>506</v>
      </c>
      <c r="D68" s="83" t="s">
        <v>507</v>
      </c>
      <c r="E68" s="83"/>
      <c r="F68" s="84" t="s">
        <v>321</v>
      </c>
      <c r="G68" s="85"/>
      <c r="H68" s="86"/>
      <c r="I68" s="89"/>
      <c r="J68" s="8"/>
      <c r="K68" s="8"/>
      <c r="L68" s="8"/>
      <c r="M68" s="8"/>
      <c r="N68" s="8"/>
      <c r="O68" s="8"/>
      <c r="P68" s="8"/>
      <c r="Q68" s="8"/>
      <c r="R68" s="8"/>
      <c r="S68" s="8"/>
      <c r="T68" s="8"/>
      <c r="U68" s="8"/>
      <c r="V68" s="8"/>
      <c r="W68" s="8"/>
      <c r="X68" s="8"/>
      <c r="Y68" s="8"/>
      <c r="Z68" s="8"/>
    </row>
    <row r="69" spans="1:26" ht="72" customHeight="1" x14ac:dyDescent="0.3">
      <c r="A69" s="82" t="s">
        <v>508</v>
      </c>
      <c r="B69" s="83" t="s">
        <v>132</v>
      </c>
      <c r="C69" s="83" t="s">
        <v>509</v>
      </c>
      <c r="D69" s="83" t="s">
        <v>510</v>
      </c>
      <c r="E69" s="83"/>
      <c r="F69" s="84" t="s">
        <v>321</v>
      </c>
      <c r="G69" s="85"/>
      <c r="H69" s="86"/>
      <c r="I69" s="89"/>
      <c r="J69" s="8"/>
      <c r="K69" s="8"/>
      <c r="L69" s="8"/>
      <c r="M69" s="8"/>
      <c r="N69" s="8"/>
      <c r="O69" s="8"/>
      <c r="P69" s="8"/>
      <c r="Q69" s="8"/>
      <c r="R69" s="8"/>
      <c r="S69" s="8"/>
      <c r="T69" s="8"/>
      <c r="U69" s="8"/>
      <c r="V69" s="8"/>
      <c r="W69" s="8"/>
      <c r="X69" s="8"/>
      <c r="Y69" s="8"/>
      <c r="Z69" s="8"/>
    </row>
    <row r="70" spans="1:26" ht="84.75" customHeight="1" x14ac:dyDescent="0.3">
      <c r="A70" s="82" t="s">
        <v>511</v>
      </c>
      <c r="B70" s="83" t="s">
        <v>133</v>
      </c>
      <c r="C70" s="83" t="s">
        <v>512</v>
      </c>
      <c r="D70" s="83" t="s">
        <v>513</v>
      </c>
      <c r="E70" s="83"/>
      <c r="F70" s="84" t="s">
        <v>321</v>
      </c>
      <c r="G70" s="85"/>
      <c r="H70" s="86"/>
      <c r="I70" s="89"/>
      <c r="J70" s="8"/>
      <c r="K70" s="8"/>
      <c r="L70" s="8"/>
      <c r="M70" s="8"/>
      <c r="N70" s="8"/>
      <c r="O70" s="8"/>
      <c r="P70" s="8"/>
      <c r="Q70" s="8"/>
      <c r="R70" s="8"/>
      <c r="S70" s="8"/>
      <c r="T70" s="8"/>
      <c r="U70" s="8"/>
      <c r="V70" s="8"/>
      <c r="W70" s="8"/>
      <c r="X70" s="8"/>
      <c r="Y70" s="8"/>
      <c r="Z70" s="8"/>
    </row>
    <row r="71" spans="1:26" ht="111.75" customHeight="1" x14ac:dyDescent="0.3">
      <c r="A71" s="82" t="s">
        <v>514</v>
      </c>
      <c r="B71" s="83" t="s">
        <v>135</v>
      </c>
      <c r="C71" s="83" t="s">
        <v>515</v>
      </c>
      <c r="D71" s="83" t="s">
        <v>516</v>
      </c>
      <c r="E71" s="83"/>
      <c r="F71" s="84" t="s">
        <v>321</v>
      </c>
      <c r="G71" s="85"/>
      <c r="H71" s="86"/>
      <c r="I71" s="89"/>
      <c r="J71" s="8"/>
      <c r="K71" s="8"/>
      <c r="L71" s="8"/>
      <c r="M71" s="8"/>
      <c r="N71" s="8"/>
      <c r="O71" s="8"/>
      <c r="P71" s="8"/>
      <c r="Q71" s="8"/>
      <c r="R71" s="8"/>
      <c r="S71" s="8"/>
      <c r="T71" s="8"/>
      <c r="U71" s="8"/>
      <c r="V71" s="8"/>
      <c r="W71" s="8"/>
      <c r="X71" s="8"/>
      <c r="Y71" s="8"/>
      <c r="Z71" s="8"/>
    </row>
    <row r="72" spans="1:26" ht="30" customHeight="1" x14ac:dyDescent="0.3">
      <c r="A72" s="82" t="s">
        <v>517</v>
      </c>
      <c r="B72" s="83" t="s">
        <v>136</v>
      </c>
      <c r="C72" s="83" t="s">
        <v>518</v>
      </c>
      <c r="D72" s="83" t="s">
        <v>519</v>
      </c>
      <c r="E72" s="83"/>
      <c r="F72" s="84" t="s">
        <v>321</v>
      </c>
      <c r="G72" s="85"/>
      <c r="H72" s="86"/>
      <c r="I72" s="89"/>
      <c r="J72" s="8"/>
      <c r="K72" s="8"/>
      <c r="L72" s="8"/>
      <c r="M72" s="8"/>
      <c r="N72" s="8"/>
      <c r="O72" s="8"/>
      <c r="P72" s="8"/>
      <c r="Q72" s="8"/>
      <c r="R72" s="8"/>
      <c r="S72" s="8"/>
      <c r="T72" s="8"/>
      <c r="U72" s="8"/>
      <c r="V72" s="8"/>
      <c r="W72" s="8"/>
      <c r="X72" s="8"/>
      <c r="Y72" s="8"/>
      <c r="Z72" s="8"/>
    </row>
    <row r="73" spans="1:26" ht="30.75" customHeight="1" x14ac:dyDescent="0.3">
      <c r="A73" s="82" t="s">
        <v>520</v>
      </c>
      <c r="B73" s="83" t="s">
        <v>137</v>
      </c>
      <c r="C73" s="83" t="s">
        <v>521</v>
      </c>
      <c r="D73" s="83" t="s">
        <v>522</v>
      </c>
      <c r="E73" s="83"/>
      <c r="F73" s="84" t="s">
        <v>321</v>
      </c>
      <c r="G73" s="85"/>
      <c r="H73" s="86"/>
      <c r="I73" s="89"/>
      <c r="J73" s="8"/>
      <c r="K73" s="8"/>
      <c r="L73" s="8"/>
      <c r="M73" s="8"/>
      <c r="N73" s="8"/>
      <c r="O73" s="8"/>
      <c r="P73" s="8"/>
      <c r="Q73" s="8"/>
      <c r="R73" s="8"/>
      <c r="S73" s="8"/>
      <c r="T73" s="8"/>
      <c r="U73" s="8"/>
      <c r="V73" s="8"/>
      <c r="W73" s="8"/>
      <c r="X73" s="8"/>
      <c r="Y73" s="8"/>
      <c r="Z73" s="8"/>
    </row>
    <row r="74" spans="1:26" ht="71.25" customHeight="1" x14ac:dyDescent="0.3">
      <c r="A74" s="82" t="s">
        <v>523</v>
      </c>
      <c r="B74" s="83" t="s">
        <v>138</v>
      </c>
      <c r="C74" s="83" t="s">
        <v>524</v>
      </c>
      <c r="D74" s="83" t="s">
        <v>525</v>
      </c>
      <c r="E74" s="83"/>
      <c r="F74" s="84" t="s">
        <v>321</v>
      </c>
      <c r="G74" s="85"/>
      <c r="H74" s="86"/>
      <c r="I74" s="89"/>
      <c r="J74" s="8"/>
      <c r="K74" s="8"/>
      <c r="L74" s="8"/>
      <c r="M74" s="8"/>
      <c r="N74" s="8"/>
      <c r="O74" s="8"/>
      <c r="P74" s="8"/>
      <c r="Q74" s="8"/>
      <c r="R74" s="8"/>
      <c r="S74" s="8"/>
      <c r="T74" s="8"/>
      <c r="U74" s="8"/>
      <c r="V74" s="8"/>
      <c r="W74" s="8"/>
      <c r="X74" s="8"/>
      <c r="Y74" s="8"/>
      <c r="Z74" s="8"/>
    </row>
    <row r="75" spans="1:26" ht="44.25" customHeight="1" x14ac:dyDescent="0.3">
      <c r="A75" s="82" t="s">
        <v>526</v>
      </c>
      <c r="B75" s="83" t="s">
        <v>139</v>
      </c>
      <c r="C75" s="83" t="s">
        <v>527</v>
      </c>
      <c r="D75" s="83" t="s">
        <v>528</v>
      </c>
      <c r="E75" s="83"/>
      <c r="F75" s="84" t="s">
        <v>321</v>
      </c>
      <c r="G75" s="85"/>
      <c r="H75" s="86"/>
      <c r="I75" s="89"/>
      <c r="J75" s="8"/>
      <c r="K75" s="8"/>
      <c r="L75" s="8"/>
      <c r="M75" s="8"/>
      <c r="N75" s="8"/>
      <c r="O75" s="8"/>
      <c r="P75" s="8"/>
      <c r="Q75" s="8"/>
      <c r="R75" s="8"/>
      <c r="S75" s="8"/>
      <c r="T75" s="8"/>
      <c r="U75" s="8"/>
      <c r="V75" s="8"/>
      <c r="W75" s="8"/>
      <c r="X75" s="8"/>
      <c r="Y75" s="8"/>
      <c r="Z75" s="8"/>
    </row>
    <row r="76" spans="1:26" ht="30.75" customHeight="1" x14ac:dyDescent="0.3">
      <c r="A76" s="82" t="s">
        <v>529</v>
      </c>
      <c r="B76" s="83" t="s">
        <v>140</v>
      </c>
      <c r="C76" s="83" t="s">
        <v>530</v>
      </c>
      <c r="D76" s="83" t="s">
        <v>531</v>
      </c>
      <c r="E76" s="83"/>
      <c r="F76" s="84" t="s">
        <v>321</v>
      </c>
      <c r="G76" s="85"/>
      <c r="H76" s="86"/>
      <c r="I76" s="89"/>
      <c r="J76" s="8"/>
      <c r="K76" s="8"/>
      <c r="L76" s="8"/>
      <c r="M76" s="8"/>
      <c r="N76" s="8"/>
      <c r="O76" s="8"/>
      <c r="P76" s="8"/>
      <c r="Q76" s="8"/>
      <c r="R76" s="8"/>
      <c r="S76" s="8"/>
      <c r="T76" s="8"/>
      <c r="U76" s="8"/>
      <c r="V76" s="8"/>
      <c r="W76" s="8"/>
      <c r="X76" s="8"/>
      <c r="Y76" s="8"/>
      <c r="Z76" s="8"/>
    </row>
    <row r="77" spans="1:26" ht="30.75" customHeight="1" x14ac:dyDescent="0.3">
      <c r="A77" s="82" t="s">
        <v>532</v>
      </c>
      <c r="B77" s="83" t="s">
        <v>141</v>
      </c>
      <c r="C77" s="83" t="s">
        <v>533</v>
      </c>
      <c r="D77" s="83" t="s">
        <v>534</v>
      </c>
      <c r="E77" s="83"/>
      <c r="F77" s="84" t="s">
        <v>323</v>
      </c>
      <c r="G77" s="85"/>
      <c r="H77" s="86"/>
      <c r="I77" s="89"/>
      <c r="J77" s="8"/>
      <c r="K77" s="8"/>
      <c r="L77" s="8"/>
      <c r="M77" s="8"/>
      <c r="N77" s="8"/>
      <c r="O77" s="8"/>
      <c r="P77" s="8"/>
      <c r="Q77" s="8"/>
      <c r="R77" s="8"/>
      <c r="S77" s="8"/>
      <c r="T77" s="8"/>
      <c r="U77" s="8"/>
      <c r="V77" s="8"/>
      <c r="W77" s="8"/>
      <c r="X77" s="8"/>
      <c r="Y77" s="8"/>
      <c r="Z77" s="8"/>
    </row>
    <row r="78" spans="1:26" ht="30" customHeight="1" x14ac:dyDescent="0.3">
      <c r="A78" s="82" t="s">
        <v>535</v>
      </c>
      <c r="B78" s="83" t="s">
        <v>143</v>
      </c>
      <c r="C78" s="83" t="s">
        <v>536</v>
      </c>
      <c r="D78" s="83" t="s">
        <v>537</v>
      </c>
      <c r="E78" s="83"/>
      <c r="F78" s="84" t="s">
        <v>321</v>
      </c>
      <c r="G78" s="85"/>
      <c r="H78" s="86"/>
      <c r="I78" s="89"/>
      <c r="J78" s="8"/>
      <c r="K78" s="8"/>
      <c r="L78" s="8"/>
      <c r="M78" s="8"/>
      <c r="N78" s="8"/>
      <c r="O78" s="8"/>
      <c r="P78" s="8"/>
      <c r="Q78" s="8"/>
      <c r="R78" s="8"/>
      <c r="S78" s="8"/>
      <c r="T78" s="8"/>
      <c r="U78" s="8"/>
      <c r="V78" s="8"/>
      <c r="W78" s="8"/>
      <c r="X78" s="8"/>
      <c r="Y78" s="8"/>
      <c r="Z78" s="8"/>
    </row>
    <row r="79" spans="1:26" ht="44.25" customHeight="1" x14ac:dyDescent="0.3">
      <c r="A79" s="82" t="s">
        <v>538</v>
      </c>
      <c r="B79" s="83" t="s">
        <v>144</v>
      </c>
      <c r="C79" s="83" t="s">
        <v>539</v>
      </c>
      <c r="D79" s="83" t="s">
        <v>540</v>
      </c>
      <c r="E79" s="83"/>
      <c r="F79" s="84" t="s">
        <v>321</v>
      </c>
      <c r="G79" s="85"/>
      <c r="H79" s="86"/>
      <c r="I79" s="89"/>
      <c r="J79" s="8"/>
      <c r="K79" s="8"/>
      <c r="L79" s="8"/>
      <c r="M79" s="8"/>
      <c r="N79" s="8"/>
      <c r="O79" s="8"/>
      <c r="P79" s="8"/>
      <c r="Q79" s="8"/>
      <c r="R79" s="8"/>
      <c r="S79" s="8"/>
      <c r="T79" s="8"/>
      <c r="U79" s="8"/>
      <c r="V79" s="8"/>
      <c r="W79" s="8"/>
      <c r="X79" s="8"/>
      <c r="Y79" s="8"/>
      <c r="Z79" s="8"/>
    </row>
    <row r="80" spans="1:26" ht="30.75" customHeight="1" x14ac:dyDescent="0.3">
      <c r="A80" s="82" t="s">
        <v>541</v>
      </c>
      <c r="B80" s="83" t="s">
        <v>146</v>
      </c>
      <c r="C80" s="83" t="s">
        <v>542</v>
      </c>
      <c r="D80" s="83" t="s">
        <v>543</v>
      </c>
      <c r="E80" s="83"/>
      <c r="F80" s="84" t="s">
        <v>321</v>
      </c>
      <c r="G80" s="85"/>
      <c r="H80" s="86"/>
      <c r="I80" s="89"/>
      <c r="J80" s="8"/>
      <c r="K80" s="8"/>
      <c r="L80" s="8"/>
      <c r="M80" s="8"/>
      <c r="N80" s="8"/>
      <c r="O80" s="8"/>
      <c r="P80" s="8"/>
      <c r="Q80" s="8"/>
      <c r="R80" s="8"/>
      <c r="S80" s="8"/>
      <c r="T80" s="8"/>
      <c r="U80" s="8"/>
      <c r="V80" s="8"/>
      <c r="W80" s="8"/>
      <c r="X80" s="8"/>
      <c r="Y80" s="8"/>
      <c r="Z80" s="8"/>
    </row>
    <row r="81" spans="1:26" ht="30.75" customHeight="1" x14ac:dyDescent="0.3">
      <c r="A81" s="82" t="s">
        <v>544</v>
      </c>
      <c r="B81" s="83" t="s">
        <v>147</v>
      </c>
      <c r="C81" s="83" t="s">
        <v>545</v>
      </c>
      <c r="D81" s="83" t="s">
        <v>546</v>
      </c>
      <c r="E81" s="83"/>
      <c r="F81" s="84" t="s">
        <v>321</v>
      </c>
      <c r="G81" s="85"/>
      <c r="H81" s="86"/>
      <c r="I81" s="89"/>
      <c r="J81" s="8"/>
      <c r="K81" s="8"/>
      <c r="L81" s="8"/>
      <c r="M81" s="8"/>
      <c r="N81" s="8"/>
      <c r="O81" s="8"/>
      <c r="P81" s="8"/>
      <c r="Q81" s="8"/>
      <c r="R81" s="8"/>
      <c r="S81" s="8"/>
      <c r="T81" s="8"/>
      <c r="U81" s="8"/>
      <c r="V81" s="8"/>
      <c r="W81" s="8"/>
      <c r="X81" s="8"/>
      <c r="Y81" s="8"/>
      <c r="Z81" s="8"/>
    </row>
    <row r="82" spans="1:26" ht="30.75" customHeight="1" x14ac:dyDescent="0.3">
      <c r="A82" s="82" t="s">
        <v>547</v>
      </c>
      <c r="B82" s="83" t="s">
        <v>86</v>
      </c>
      <c r="C82" s="83" t="s">
        <v>548</v>
      </c>
      <c r="D82" s="83" t="s">
        <v>549</v>
      </c>
      <c r="E82" s="83"/>
      <c r="F82" s="84" t="s">
        <v>321</v>
      </c>
      <c r="G82" s="85"/>
      <c r="H82" s="86"/>
      <c r="I82" s="89"/>
      <c r="J82" s="8"/>
      <c r="K82" s="8"/>
      <c r="L82" s="8"/>
      <c r="M82" s="8"/>
      <c r="N82" s="8"/>
      <c r="O82" s="8"/>
      <c r="P82" s="8"/>
      <c r="Q82" s="8"/>
      <c r="R82" s="8"/>
      <c r="S82" s="8"/>
      <c r="T82" s="8"/>
      <c r="U82" s="8"/>
      <c r="V82" s="8"/>
      <c r="W82" s="8"/>
      <c r="X82" s="8"/>
      <c r="Y82" s="8"/>
      <c r="Z82" s="8"/>
    </row>
    <row r="83" spans="1:26" ht="30.75" customHeight="1" x14ac:dyDescent="0.3">
      <c r="A83" s="82" t="s">
        <v>550</v>
      </c>
      <c r="B83" s="83" t="s">
        <v>87</v>
      </c>
      <c r="C83" s="83" t="s">
        <v>551</v>
      </c>
      <c r="D83" s="83" t="s">
        <v>552</v>
      </c>
      <c r="E83" s="83"/>
      <c r="F83" s="84" t="s">
        <v>321</v>
      </c>
      <c r="G83" s="85"/>
      <c r="H83" s="86"/>
      <c r="I83" s="89"/>
      <c r="J83" s="8"/>
      <c r="K83" s="8"/>
      <c r="L83" s="8"/>
      <c r="M83" s="8"/>
      <c r="N83" s="8"/>
      <c r="O83" s="8"/>
      <c r="P83" s="8"/>
      <c r="Q83" s="8"/>
      <c r="R83" s="8"/>
      <c r="S83" s="8"/>
      <c r="T83" s="8"/>
      <c r="U83" s="8"/>
      <c r="V83" s="8"/>
      <c r="W83" s="8"/>
      <c r="X83" s="8"/>
      <c r="Y83" s="8"/>
      <c r="Z83" s="8"/>
    </row>
    <row r="84" spans="1:26" ht="30" customHeight="1" x14ac:dyDescent="0.3">
      <c r="A84" s="82" t="s">
        <v>553</v>
      </c>
      <c r="B84" s="83" t="s">
        <v>148</v>
      </c>
      <c r="C84" s="83" t="s">
        <v>554</v>
      </c>
      <c r="D84" s="83" t="s">
        <v>555</v>
      </c>
      <c r="E84" s="83"/>
      <c r="F84" s="84" t="s">
        <v>321</v>
      </c>
      <c r="G84" s="85"/>
      <c r="H84" s="86"/>
      <c r="I84" s="89"/>
      <c r="J84" s="8"/>
      <c r="K84" s="8"/>
      <c r="L84" s="8"/>
      <c r="M84" s="8"/>
      <c r="N84" s="8"/>
      <c r="O84" s="8"/>
      <c r="P84" s="8"/>
      <c r="Q84" s="8"/>
      <c r="R84" s="8"/>
      <c r="S84" s="8"/>
      <c r="T84" s="8"/>
      <c r="U84" s="8"/>
      <c r="V84" s="8"/>
      <c r="W84" s="8"/>
      <c r="X84" s="8"/>
      <c r="Y84" s="8"/>
      <c r="Z84" s="8"/>
    </row>
    <row r="85" spans="1:26" ht="30.75" customHeight="1" x14ac:dyDescent="0.3">
      <c r="A85" s="82" t="s">
        <v>556</v>
      </c>
      <c r="B85" s="83" t="s">
        <v>149</v>
      </c>
      <c r="C85" s="83" t="s">
        <v>557</v>
      </c>
      <c r="D85" s="83" t="s">
        <v>558</v>
      </c>
      <c r="E85" s="83"/>
      <c r="F85" s="84" t="s">
        <v>323</v>
      </c>
      <c r="G85" s="85"/>
      <c r="H85" s="86"/>
      <c r="I85" s="89"/>
      <c r="J85" s="8"/>
      <c r="K85" s="8"/>
      <c r="L85" s="8"/>
      <c r="M85" s="8"/>
      <c r="N85" s="8"/>
      <c r="O85" s="8"/>
      <c r="P85" s="8"/>
      <c r="Q85" s="8"/>
      <c r="R85" s="8"/>
      <c r="S85" s="8"/>
      <c r="T85" s="8"/>
      <c r="U85" s="8"/>
      <c r="V85" s="8"/>
      <c r="W85" s="8"/>
      <c r="X85" s="8"/>
      <c r="Y85" s="8"/>
      <c r="Z85" s="8"/>
    </row>
    <row r="86" spans="1:26" ht="30.75" customHeight="1" x14ac:dyDescent="0.3">
      <c r="A86" s="82" t="s">
        <v>559</v>
      </c>
      <c r="B86" s="83" t="s">
        <v>150</v>
      </c>
      <c r="C86" s="83" t="s">
        <v>560</v>
      </c>
      <c r="D86" s="83" t="s">
        <v>561</v>
      </c>
      <c r="E86" s="83"/>
      <c r="F86" s="84" t="s">
        <v>323</v>
      </c>
      <c r="G86" s="85"/>
      <c r="H86" s="86"/>
      <c r="I86" s="89"/>
      <c r="J86" s="8"/>
      <c r="K86" s="8"/>
      <c r="L86" s="8"/>
      <c r="M86" s="8"/>
      <c r="N86" s="8"/>
      <c r="O86" s="8"/>
      <c r="P86" s="8"/>
      <c r="Q86" s="8"/>
      <c r="R86" s="8"/>
      <c r="S86" s="8"/>
      <c r="T86" s="8"/>
      <c r="U86" s="8"/>
      <c r="V86" s="8"/>
      <c r="W86" s="8"/>
      <c r="X86" s="8"/>
      <c r="Y86" s="8"/>
      <c r="Z86" s="8"/>
    </row>
    <row r="87" spans="1:26" ht="30.75" customHeight="1" x14ac:dyDescent="0.3">
      <c r="A87" s="82" t="s">
        <v>562</v>
      </c>
      <c r="B87" s="83" t="s">
        <v>151</v>
      </c>
      <c r="C87" s="83" t="s">
        <v>563</v>
      </c>
      <c r="D87" s="83" t="s">
        <v>564</v>
      </c>
      <c r="E87" s="83"/>
      <c r="F87" s="84" t="s">
        <v>323</v>
      </c>
      <c r="G87" s="85"/>
      <c r="H87" s="86"/>
      <c r="I87" s="89"/>
      <c r="J87" s="8"/>
      <c r="K87" s="8"/>
      <c r="L87" s="8"/>
      <c r="M87" s="8"/>
      <c r="N87" s="8"/>
      <c r="O87" s="8"/>
      <c r="P87" s="8"/>
      <c r="Q87" s="8"/>
      <c r="R87" s="8"/>
      <c r="S87" s="8"/>
      <c r="T87" s="8"/>
      <c r="U87" s="8"/>
      <c r="V87" s="8"/>
      <c r="W87" s="8"/>
      <c r="X87" s="8"/>
      <c r="Y87" s="8"/>
      <c r="Z87" s="8"/>
    </row>
    <row r="88" spans="1:26" ht="30.75" customHeight="1" x14ac:dyDescent="0.3">
      <c r="A88" s="82" t="s">
        <v>565</v>
      </c>
      <c r="B88" s="83" t="s">
        <v>152</v>
      </c>
      <c r="C88" s="83" t="s">
        <v>566</v>
      </c>
      <c r="D88" s="83" t="s">
        <v>567</v>
      </c>
      <c r="E88" s="83"/>
      <c r="F88" s="84" t="s">
        <v>323</v>
      </c>
      <c r="G88" s="85"/>
      <c r="H88" s="86"/>
      <c r="I88" s="89"/>
      <c r="J88" s="8"/>
      <c r="K88" s="8"/>
      <c r="L88" s="8"/>
      <c r="M88" s="8"/>
      <c r="N88" s="8"/>
      <c r="O88" s="8"/>
      <c r="P88" s="8"/>
      <c r="Q88" s="8"/>
      <c r="R88" s="8"/>
      <c r="S88" s="8"/>
      <c r="T88" s="8"/>
      <c r="U88" s="8"/>
      <c r="V88" s="8"/>
      <c r="W88" s="8"/>
      <c r="X88" s="8"/>
      <c r="Y88" s="8"/>
      <c r="Z88" s="8"/>
    </row>
    <row r="89" spans="1:26" ht="57.75" customHeight="1" x14ac:dyDescent="0.3">
      <c r="A89" s="82" t="s">
        <v>568</v>
      </c>
      <c r="B89" s="83" t="s">
        <v>155</v>
      </c>
      <c r="C89" s="83" t="s">
        <v>569</v>
      </c>
      <c r="D89" s="83" t="s">
        <v>570</v>
      </c>
      <c r="E89" s="83"/>
      <c r="F89" s="84" t="s">
        <v>321</v>
      </c>
      <c r="G89" s="85"/>
      <c r="H89" s="86"/>
      <c r="I89" s="89"/>
      <c r="J89" s="8"/>
      <c r="K89" s="8"/>
      <c r="L89" s="8"/>
      <c r="M89" s="8"/>
      <c r="N89" s="8"/>
      <c r="O89" s="8"/>
      <c r="P89" s="8"/>
      <c r="Q89" s="8"/>
      <c r="R89" s="8"/>
      <c r="S89" s="8"/>
      <c r="T89" s="8"/>
      <c r="U89" s="8"/>
      <c r="V89" s="8"/>
      <c r="W89" s="8"/>
      <c r="X89" s="8"/>
      <c r="Y89" s="8"/>
      <c r="Z89" s="8"/>
    </row>
    <row r="90" spans="1:26" ht="71.25" customHeight="1" x14ac:dyDescent="0.3">
      <c r="A90" s="82" t="s">
        <v>571</v>
      </c>
      <c r="B90" s="83" t="s">
        <v>158</v>
      </c>
      <c r="C90" s="83" t="s">
        <v>572</v>
      </c>
      <c r="D90" s="83" t="s">
        <v>573</v>
      </c>
      <c r="E90" s="83" t="s">
        <v>523</v>
      </c>
      <c r="F90" s="84" t="s">
        <v>321</v>
      </c>
      <c r="G90" s="85"/>
      <c r="H90" s="86"/>
      <c r="I90" s="89"/>
      <c r="J90" s="8"/>
      <c r="K90" s="8"/>
      <c r="L90" s="8"/>
      <c r="M90" s="8"/>
      <c r="N90" s="8"/>
      <c r="O90" s="8"/>
      <c r="P90" s="8"/>
      <c r="Q90" s="8"/>
      <c r="R90" s="8"/>
      <c r="S90" s="8"/>
      <c r="T90" s="8"/>
      <c r="U90" s="8"/>
      <c r="V90" s="8"/>
      <c r="W90" s="8"/>
      <c r="X90" s="8"/>
      <c r="Y90" s="8"/>
      <c r="Z90" s="8"/>
    </row>
    <row r="91" spans="1:26" ht="30.75" customHeight="1" x14ac:dyDescent="0.3">
      <c r="A91" s="82" t="s">
        <v>574</v>
      </c>
      <c r="B91" s="83" t="s">
        <v>159</v>
      </c>
      <c r="C91" s="83" t="s">
        <v>575</v>
      </c>
      <c r="D91" s="83" t="s">
        <v>576</v>
      </c>
      <c r="E91" s="83"/>
      <c r="F91" s="84" t="s">
        <v>321</v>
      </c>
      <c r="G91" s="85"/>
      <c r="H91" s="86"/>
      <c r="I91" s="89"/>
      <c r="J91" s="8"/>
      <c r="K91" s="8"/>
      <c r="L91" s="8"/>
      <c r="M91" s="8"/>
      <c r="N91" s="8"/>
      <c r="O91" s="8"/>
      <c r="P91" s="8"/>
      <c r="Q91" s="8"/>
      <c r="R91" s="8"/>
      <c r="S91" s="8"/>
      <c r="T91" s="8"/>
      <c r="U91" s="8"/>
      <c r="V91" s="8"/>
      <c r="W91" s="8"/>
      <c r="X91" s="8"/>
      <c r="Y91" s="8"/>
      <c r="Z91" s="8"/>
    </row>
    <row r="92" spans="1:26" ht="14.25" customHeight="1" x14ac:dyDescent="0.3">
      <c r="A92" s="8"/>
      <c r="B92" s="8"/>
      <c r="C92" s="8"/>
      <c r="D92" s="8"/>
      <c r="E92" s="8"/>
      <c r="F92" s="8"/>
      <c r="G92" s="8"/>
      <c r="H92" s="8"/>
      <c r="I92" s="89"/>
      <c r="J92" s="8"/>
      <c r="K92" s="8"/>
      <c r="L92" s="8"/>
      <c r="M92" s="8"/>
      <c r="N92" s="8"/>
      <c r="O92" s="8"/>
      <c r="P92" s="8"/>
      <c r="Q92" s="8"/>
      <c r="R92" s="8"/>
      <c r="S92" s="8"/>
      <c r="T92" s="8"/>
      <c r="U92" s="8"/>
      <c r="V92" s="8"/>
      <c r="W92" s="8"/>
      <c r="X92" s="8"/>
      <c r="Y92" s="8"/>
      <c r="Z92" s="8"/>
    </row>
    <row r="93" spans="1:26" ht="14.25" customHeight="1" x14ac:dyDescent="0.3">
      <c r="A93" s="8"/>
      <c r="B93" s="8"/>
      <c r="C93" s="8"/>
      <c r="D93" s="8"/>
      <c r="E93" s="8"/>
      <c r="F93" s="8"/>
      <c r="G93" s="8"/>
      <c r="H93" s="8"/>
      <c r="I93" s="89"/>
      <c r="J93" s="8"/>
      <c r="K93" s="8"/>
      <c r="L93" s="8"/>
      <c r="M93" s="8"/>
      <c r="N93" s="8"/>
      <c r="O93" s="8"/>
      <c r="P93" s="8"/>
      <c r="Q93" s="8"/>
      <c r="R93" s="8"/>
      <c r="S93" s="8"/>
      <c r="T93" s="8"/>
      <c r="U93" s="8"/>
      <c r="V93" s="8"/>
      <c r="W93" s="8"/>
      <c r="X93" s="8"/>
      <c r="Y93" s="8"/>
      <c r="Z93" s="8"/>
    </row>
    <row r="94" spans="1:26" ht="14.25" customHeight="1" x14ac:dyDescent="0.3">
      <c r="A94" s="8"/>
      <c r="B94" s="8"/>
      <c r="C94" s="8"/>
      <c r="D94" s="8"/>
      <c r="E94" s="8"/>
      <c r="F94" s="8"/>
      <c r="G94" s="8"/>
      <c r="H94" s="8"/>
      <c r="I94" s="89"/>
      <c r="J94" s="8"/>
      <c r="K94" s="8"/>
      <c r="L94" s="8"/>
      <c r="M94" s="8"/>
      <c r="N94" s="8"/>
      <c r="O94" s="8"/>
      <c r="P94" s="8"/>
      <c r="Q94" s="8"/>
      <c r="R94" s="8"/>
      <c r="S94" s="8"/>
      <c r="T94" s="8"/>
      <c r="U94" s="8"/>
      <c r="V94" s="8"/>
      <c r="W94" s="8"/>
      <c r="X94" s="8"/>
      <c r="Y94" s="8"/>
      <c r="Z94" s="8"/>
    </row>
    <row r="95" spans="1:26" ht="14.25" customHeight="1" x14ac:dyDescent="0.3">
      <c r="A95" s="8"/>
      <c r="B95" s="8"/>
      <c r="C95" s="8"/>
      <c r="D95" s="8"/>
      <c r="E95" s="8"/>
      <c r="F95" s="8"/>
      <c r="G95" s="8"/>
      <c r="H95" s="8"/>
      <c r="I95" s="89"/>
      <c r="J95" s="8"/>
      <c r="K95" s="8"/>
      <c r="L95" s="8"/>
      <c r="M95" s="8"/>
      <c r="N95" s="8"/>
      <c r="O95" s="8"/>
      <c r="P95" s="8"/>
      <c r="Q95" s="8"/>
      <c r="R95" s="8"/>
      <c r="S95" s="8"/>
      <c r="T95" s="8"/>
      <c r="U95" s="8"/>
      <c r="V95" s="8"/>
      <c r="W95" s="8"/>
      <c r="X95" s="8"/>
      <c r="Y95" s="8"/>
      <c r="Z95" s="8"/>
    </row>
    <row r="96" spans="1:26" ht="14.25" customHeight="1" x14ac:dyDescent="0.3">
      <c r="A96" s="8"/>
      <c r="B96" s="8"/>
      <c r="C96" s="8"/>
      <c r="D96" s="8"/>
      <c r="E96" s="8"/>
      <c r="F96" s="8"/>
      <c r="G96" s="8"/>
      <c r="H96" s="8"/>
      <c r="I96" s="89"/>
      <c r="J96" s="8"/>
      <c r="K96" s="8"/>
      <c r="L96" s="8"/>
      <c r="M96" s="8"/>
      <c r="N96" s="8"/>
      <c r="O96" s="8"/>
      <c r="P96" s="8"/>
      <c r="Q96" s="8"/>
      <c r="R96" s="8"/>
      <c r="S96" s="8"/>
      <c r="T96" s="8"/>
      <c r="U96" s="8"/>
      <c r="V96" s="8"/>
      <c r="W96" s="8"/>
      <c r="X96" s="8"/>
      <c r="Y96" s="8"/>
      <c r="Z96" s="8"/>
    </row>
    <row r="97" spans="1:26" ht="14.25" customHeight="1" x14ac:dyDescent="0.3">
      <c r="A97" s="8"/>
      <c r="B97" s="8"/>
      <c r="C97" s="8"/>
      <c r="D97" s="8"/>
      <c r="E97" s="8"/>
      <c r="F97" s="8"/>
      <c r="G97" s="8"/>
      <c r="H97" s="8"/>
      <c r="I97" s="89"/>
      <c r="J97" s="8"/>
      <c r="K97" s="8"/>
      <c r="L97" s="8"/>
      <c r="M97" s="8"/>
      <c r="N97" s="8"/>
      <c r="O97" s="8"/>
      <c r="P97" s="8"/>
      <c r="Q97" s="8"/>
      <c r="R97" s="8"/>
      <c r="S97" s="8"/>
      <c r="T97" s="8"/>
      <c r="U97" s="8"/>
      <c r="V97" s="8"/>
      <c r="W97" s="8"/>
      <c r="X97" s="8"/>
      <c r="Y97" s="8"/>
      <c r="Z97" s="8"/>
    </row>
    <row r="98" spans="1:26" ht="14.25" customHeight="1" x14ac:dyDescent="0.3">
      <c r="A98" s="8"/>
      <c r="B98" s="8"/>
      <c r="C98" s="8"/>
      <c r="D98" s="8"/>
      <c r="E98" s="8"/>
      <c r="F98" s="8"/>
      <c r="G98" s="8"/>
      <c r="H98" s="8"/>
      <c r="I98" s="89"/>
      <c r="J98" s="8"/>
      <c r="K98" s="8"/>
      <c r="L98" s="8"/>
      <c r="M98" s="8"/>
      <c r="N98" s="8"/>
      <c r="O98" s="8"/>
      <c r="P98" s="8"/>
      <c r="Q98" s="8"/>
      <c r="R98" s="8"/>
      <c r="S98" s="8"/>
      <c r="T98" s="8"/>
      <c r="U98" s="8"/>
      <c r="V98" s="8"/>
      <c r="W98" s="8"/>
      <c r="X98" s="8"/>
      <c r="Y98" s="8"/>
      <c r="Z98" s="8"/>
    </row>
    <row r="99" spans="1:26" ht="14.25" customHeight="1" x14ac:dyDescent="0.3">
      <c r="A99" s="8"/>
      <c r="B99" s="8"/>
      <c r="C99" s="8"/>
      <c r="D99" s="8"/>
      <c r="E99" s="8"/>
      <c r="F99" s="8"/>
      <c r="G99" s="8"/>
      <c r="H99" s="8"/>
      <c r="I99" s="89"/>
      <c r="J99" s="8"/>
      <c r="K99" s="8"/>
      <c r="L99" s="8"/>
      <c r="M99" s="8"/>
      <c r="N99" s="8"/>
      <c r="O99" s="8"/>
      <c r="P99" s="8"/>
      <c r="Q99" s="8"/>
      <c r="R99" s="8"/>
      <c r="S99" s="8"/>
      <c r="T99" s="8"/>
      <c r="U99" s="8"/>
      <c r="V99" s="8"/>
      <c r="W99" s="8"/>
      <c r="X99" s="8"/>
      <c r="Y99" s="8"/>
      <c r="Z99" s="8"/>
    </row>
    <row r="100" spans="1:26" ht="14.25" customHeight="1" x14ac:dyDescent="0.3">
      <c r="A100" s="8"/>
      <c r="B100" s="8"/>
      <c r="C100" s="8"/>
      <c r="D100" s="8"/>
      <c r="E100" s="8"/>
      <c r="F100" s="8"/>
      <c r="G100" s="8"/>
      <c r="H100" s="8"/>
      <c r="I100" s="89"/>
      <c r="J100" s="8"/>
      <c r="K100" s="8"/>
      <c r="L100" s="8"/>
      <c r="M100" s="8"/>
      <c r="N100" s="8"/>
      <c r="O100" s="8"/>
      <c r="P100" s="8"/>
      <c r="Q100" s="8"/>
      <c r="R100" s="8"/>
      <c r="S100" s="8"/>
      <c r="T100" s="8"/>
      <c r="U100" s="8"/>
      <c r="V100" s="8"/>
      <c r="W100" s="8"/>
      <c r="X100" s="8"/>
      <c r="Y100" s="8"/>
      <c r="Z100" s="8"/>
    </row>
    <row r="101" spans="1:26" ht="14.25" customHeight="1" x14ac:dyDescent="0.3">
      <c r="A101" s="8"/>
      <c r="B101" s="8"/>
      <c r="C101" s="8"/>
      <c r="D101" s="8"/>
      <c r="E101" s="8"/>
      <c r="F101" s="8"/>
      <c r="G101" s="8"/>
      <c r="H101" s="8"/>
      <c r="I101" s="89"/>
      <c r="J101" s="8"/>
      <c r="K101" s="8"/>
      <c r="L101" s="8"/>
      <c r="M101" s="8"/>
      <c r="N101" s="8"/>
      <c r="O101" s="8"/>
      <c r="P101" s="8"/>
      <c r="Q101" s="8"/>
      <c r="R101" s="8"/>
      <c r="S101" s="8"/>
      <c r="T101" s="8"/>
      <c r="U101" s="8"/>
      <c r="V101" s="8"/>
      <c r="W101" s="8"/>
      <c r="X101" s="8"/>
      <c r="Y101" s="8"/>
      <c r="Z101" s="8"/>
    </row>
    <row r="102" spans="1:26" ht="14.25" customHeight="1" x14ac:dyDescent="0.3">
      <c r="A102" s="8"/>
      <c r="B102" s="8"/>
      <c r="C102" s="8"/>
      <c r="D102" s="8"/>
      <c r="E102" s="8"/>
      <c r="F102" s="8"/>
      <c r="G102" s="8"/>
      <c r="H102" s="8"/>
      <c r="I102" s="89"/>
      <c r="J102" s="8"/>
      <c r="K102" s="8"/>
      <c r="L102" s="8"/>
      <c r="M102" s="8"/>
      <c r="N102" s="8"/>
      <c r="O102" s="8"/>
      <c r="P102" s="8"/>
      <c r="Q102" s="8"/>
      <c r="R102" s="8"/>
      <c r="S102" s="8"/>
      <c r="T102" s="8"/>
      <c r="U102" s="8"/>
      <c r="V102" s="8"/>
      <c r="W102" s="8"/>
      <c r="X102" s="8"/>
      <c r="Y102" s="8"/>
      <c r="Z102" s="8"/>
    </row>
    <row r="103" spans="1:26" ht="14.25" customHeight="1" x14ac:dyDescent="0.3">
      <c r="A103" s="8"/>
      <c r="B103" s="8"/>
      <c r="C103" s="8"/>
      <c r="D103" s="8"/>
      <c r="E103" s="8"/>
      <c r="F103" s="8"/>
      <c r="G103" s="8"/>
      <c r="H103" s="8"/>
      <c r="I103" s="89"/>
      <c r="J103" s="8"/>
      <c r="K103" s="8"/>
      <c r="L103" s="8"/>
      <c r="M103" s="8"/>
      <c r="N103" s="8"/>
      <c r="O103" s="8"/>
      <c r="P103" s="8"/>
      <c r="Q103" s="8"/>
      <c r="R103" s="8"/>
      <c r="S103" s="8"/>
      <c r="T103" s="8"/>
      <c r="U103" s="8"/>
      <c r="V103" s="8"/>
      <c r="W103" s="8"/>
      <c r="X103" s="8"/>
      <c r="Y103" s="8"/>
      <c r="Z103" s="8"/>
    </row>
    <row r="104" spans="1:26" ht="14.25" customHeight="1" x14ac:dyDescent="0.3">
      <c r="A104" s="8"/>
      <c r="B104" s="8"/>
      <c r="C104" s="8"/>
      <c r="D104" s="8"/>
      <c r="E104" s="8"/>
      <c r="F104" s="8"/>
      <c r="G104" s="8"/>
      <c r="H104" s="8"/>
      <c r="I104" s="89"/>
      <c r="J104" s="8"/>
      <c r="K104" s="8"/>
      <c r="L104" s="8"/>
      <c r="M104" s="8"/>
      <c r="N104" s="8"/>
      <c r="O104" s="8"/>
      <c r="P104" s="8"/>
      <c r="Q104" s="8"/>
      <c r="R104" s="8"/>
      <c r="S104" s="8"/>
      <c r="T104" s="8"/>
      <c r="U104" s="8"/>
      <c r="V104" s="8"/>
      <c r="W104" s="8"/>
      <c r="X104" s="8"/>
      <c r="Y104" s="8"/>
      <c r="Z104" s="8"/>
    </row>
    <row r="105" spans="1:26" ht="14.25" customHeight="1" x14ac:dyDescent="0.3">
      <c r="A105" s="8"/>
      <c r="B105" s="8"/>
      <c r="C105" s="8"/>
      <c r="D105" s="8"/>
      <c r="E105" s="8"/>
      <c r="F105" s="8"/>
      <c r="G105" s="8"/>
      <c r="H105" s="8"/>
      <c r="I105" s="89"/>
      <c r="J105" s="8"/>
      <c r="K105" s="8"/>
      <c r="L105" s="8"/>
      <c r="M105" s="8"/>
      <c r="N105" s="8"/>
      <c r="O105" s="8"/>
      <c r="P105" s="8"/>
      <c r="Q105" s="8"/>
      <c r="R105" s="8"/>
      <c r="S105" s="8"/>
      <c r="T105" s="8"/>
      <c r="U105" s="8"/>
      <c r="V105" s="8"/>
      <c r="W105" s="8"/>
      <c r="X105" s="8"/>
      <c r="Y105" s="8"/>
      <c r="Z105" s="8"/>
    </row>
    <row r="106" spans="1:26" ht="14.25" customHeight="1" x14ac:dyDescent="0.3">
      <c r="A106" s="8"/>
      <c r="B106" s="8"/>
      <c r="C106" s="8"/>
      <c r="D106" s="8"/>
      <c r="E106" s="8"/>
      <c r="F106" s="8"/>
      <c r="G106" s="8"/>
      <c r="H106" s="8"/>
      <c r="I106" s="89"/>
      <c r="J106" s="8"/>
      <c r="K106" s="8"/>
      <c r="L106" s="8"/>
      <c r="M106" s="8"/>
      <c r="N106" s="8"/>
      <c r="O106" s="8"/>
      <c r="P106" s="8"/>
      <c r="Q106" s="8"/>
      <c r="R106" s="8"/>
      <c r="S106" s="8"/>
      <c r="T106" s="8"/>
      <c r="U106" s="8"/>
      <c r="V106" s="8"/>
      <c r="W106" s="8"/>
      <c r="X106" s="8"/>
      <c r="Y106" s="8"/>
      <c r="Z106" s="8"/>
    </row>
    <row r="107" spans="1:26" ht="14.25" customHeight="1" x14ac:dyDescent="0.3">
      <c r="A107" s="8"/>
      <c r="B107" s="8"/>
      <c r="C107" s="8"/>
      <c r="D107" s="8"/>
      <c r="E107" s="8"/>
      <c r="F107" s="8"/>
      <c r="G107" s="8"/>
      <c r="H107" s="8"/>
      <c r="I107" s="89"/>
      <c r="J107" s="8"/>
      <c r="K107" s="8"/>
      <c r="L107" s="8"/>
      <c r="M107" s="8"/>
      <c r="N107" s="8"/>
      <c r="O107" s="8"/>
      <c r="P107" s="8"/>
      <c r="Q107" s="8"/>
      <c r="R107" s="8"/>
      <c r="S107" s="8"/>
      <c r="T107" s="8"/>
      <c r="U107" s="8"/>
      <c r="V107" s="8"/>
      <c r="W107" s="8"/>
      <c r="X107" s="8"/>
      <c r="Y107" s="8"/>
      <c r="Z107" s="8"/>
    </row>
    <row r="108" spans="1:26" ht="14.25" customHeight="1" x14ac:dyDescent="0.3">
      <c r="A108" s="8"/>
      <c r="B108" s="8"/>
      <c r="C108" s="8"/>
      <c r="D108" s="8"/>
      <c r="E108" s="8"/>
      <c r="F108" s="8"/>
      <c r="G108" s="8"/>
      <c r="H108" s="8"/>
      <c r="I108" s="89"/>
      <c r="J108" s="8"/>
      <c r="K108" s="8"/>
      <c r="L108" s="8"/>
      <c r="M108" s="8"/>
      <c r="N108" s="8"/>
      <c r="O108" s="8"/>
      <c r="P108" s="8"/>
      <c r="Q108" s="8"/>
      <c r="R108" s="8"/>
      <c r="S108" s="8"/>
      <c r="T108" s="8"/>
      <c r="U108" s="8"/>
      <c r="V108" s="8"/>
      <c r="W108" s="8"/>
      <c r="X108" s="8"/>
      <c r="Y108" s="8"/>
      <c r="Z108" s="8"/>
    </row>
    <row r="109" spans="1:26" ht="14.25" customHeight="1" x14ac:dyDescent="0.3">
      <c r="A109" s="8"/>
      <c r="B109" s="8"/>
      <c r="C109" s="8"/>
      <c r="D109" s="8"/>
      <c r="E109" s="8"/>
      <c r="F109" s="8"/>
      <c r="G109" s="8"/>
      <c r="H109" s="8"/>
      <c r="I109" s="89"/>
      <c r="J109" s="8"/>
      <c r="K109" s="8"/>
      <c r="L109" s="8"/>
      <c r="M109" s="8"/>
      <c r="N109" s="8"/>
      <c r="O109" s="8"/>
      <c r="P109" s="8"/>
      <c r="Q109" s="8"/>
      <c r="R109" s="8"/>
      <c r="S109" s="8"/>
      <c r="T109" s="8"/>
      <c r="U109" s="8"/>
      <c r="V109" s="8"/>
      <c r="W109" s="8"/>
      <c r="X109" s="8"/>
      <c r="Y109" s="8"/>
      <c r="Z109" s="8"/>
    </row>
    <row r="110" spans="1:26" ht="14.25" customHeight="1" x14ac:dyDescent="0.3">
      <c r="A110" s="8"/>
      <c r="B110" s="8"/>
      <c r="C110" s="8"/>
      <c r="D110" s="8"/>
      <c r="E110" s="8"/>
      <c r="F110" s="8"/>
      <c r="G110" s="8"/>
      <c r="H110" s="8"/>
      <c r="I110" s="89"/>
      <c r="J110" s="8"/>
      <c r="K110" s="8"/>
      <c r="L110" s="8"/>
      <c r="M110" s="8"/>
      <c r="N110" s="8"/>
      <c r="O110" s="8"/>
      <c r="P110" s="8"/>
      <c r="Q110" s="8"/>
      <c r="R110" s="8"/>
      <c r="S110" s="8"/>
      <c r="T110" s="8"/>
      <c r="U110" s="8"/>
      <c r="V110" s="8"/>
      <c r="W110" s="8"/>
      <c r="X110" s="8"/>
      <c r="Y110" s="8"/>
      <c r="Z110" s="8"/>
    </row>
    <row r="111" spans="1:26" ht="14.25" customHeight="1" x14ac:dyDescent="0.3">
      <c r="A111" s="8"/>
      <c r="B111" s="8"/>
      <c r="C111" s="8"/>
      <c r="D111" s="8"/>
      <c r="E111" s="8"/>
      <c r="F111" s="8"/>
      <c r="G111" s="8"/>
      <c r="H111" s="8"/>
      <c r="I111" s="89"/>
      <c r="J111" s="8"/>
      <c r="K111" s="8"/>
      <c r="L111" s="8"/>
      <c r="M111" s="8"/>
      <c r="N111" s="8"/>
      <c r="O111" s="8"/>
      <c r="P111" s="8"/>
      <c r="Q111" s="8"/>
      <c r="R111" s="8"/>
      <c r="S111" s="8"/>
      <c r="T111" s="8"/>
      <c r="U111" s="8"/>
      <c r="V111" s="8"/>
      <c r="W111" s="8"/>
      <c r="X111" s="8"/>
      <c r="Y111" s="8"/>
      <c r="Z111" s="8"/>
    </row>
    <row r="112" spans="1:26" ht="14.25" customHeight="1" x14ac:dyDescent="0.3">
      <c r="A112" s="8"/>
      <c r="B112" s="8"/>
      <c r="C112" s="8"/>
      <c r="D112" s="8"/>
      <c r="E112" s="8"/>
      <c r="F112" s="8"/>
      <c r="G112" s="8"/>
      <c r="H112" s="8"/>
      <c r="I112" s="89"/>
      <c r="J112" s="8"/>
      <c r="K112" s="8"/>
      <c r="L112" s="8"/>
      <c r="M112" s="8"/>
      <c r="N112" s="8"/>
      <c r="O112" s="8"/>
      <c r="P112" s="8"/>
      <c r="Q112" s="8"/>
      <c r="R112" s="8"/>
      <c r="S112" s="8"/>
      <c r="T112" s="8"/>
      <c r="U112" s="8"/>
      <c r="V112" s="8"/>
      <c r="W112" s="8"/>
      <c r="X112" s="8"/>
      <c r="Y112" s="8"/>
      <c r="Z112" s="8"/>
    </row>
    <row r="113" spans="1:26" ht="14.25" customHeight="1" x14ac:dyDescent="0.3">
      <c r="A113" s="8"/>
      <c r="B113" s="8"/>
      <c r="C113" s="8"/>
      <c r="D113" s="8"/>
      <c r="E113" s="8"/>
      <c r="F113" s="8"/>
      <c r="G113" s="8"/>
      <c r="H113" s="8"/>
      <c r="I113" s="89"/>
      <c r="J113" s="8"/>
      <c r="K113" s="8"/>
      <c r="L113" s="8"/>
      <c r="M113" s="8"/>
      <c r="N113" s="8"/>
      <c r="O113" s="8"/>
      <c r="P113" s="8"/>
      <c r="Q113" s="8"/>
      <c r="R113" s="8"/>
      <c r="S113" s="8"/>
      <c r="T113" s="8"/>
      <c r="U113" s="8"/>
      <c r="V113" s="8"/>
      <c r="W113" s="8"/>
      <c r="X113" s="8"/>
      <c r="Y113" s="8"/>
      <c r="Z113" s="8"/>
    </row>
    <row r="114" spans="1:26" ht="14.25" customHeight="1" x14ac:dyDescent="0.3">
      <c r="A114" s="8"/>
      <c r="B114" s="8"/>
      <c r="C114" s="8"/>
      <c r="D114" s="8"/>
      <c r="E114" s="8"/>
      <c r="F114" s="8"/>
      <c r="G114" s="8"/>
      <c r="H114" s="8"/>
      <c r="I114" s="89"/>
      <c r="J114" s="8"/>
      <c r="K114" s="8"/>
      <c r="L114" s="8"/>
      <c r="M114" s="8"/>
      <c r="N114" s="8"/>
      <c r="O114" s="8"/>
      <c r="P114" s="8"/>
      <c r="Q114" s="8"/>
      <c r="R114" s="8"/>
      <c r="S114" s="8"/>
      <c r="T114" s="8"/>
      <c r="U114" s="8"/>
      <c r="V114" s="8"/>
      <c r="W114" s="8"/>
      <c r="X114" s="8"/>
      <c r="Y114" s="8"/>
      <c r="Z114" s="8"/>
    </row>
    <row r="115" spans="1:26" ht="14.25" customHeight="1" x14ac:dyDescent="0.3">
      <c r="A115" s="8"/>
      <c r="B115" s="8"/>
      <c r="C115" s="8"/>
      <c r="D115" s="8"/>
      <c r="E115" s="8"/>
      <c r="F115" s="8"/>
      <c r="G115" s="8"/>
      <c r="H115" s="8"/>
      <c r="I115" s="89"/>
      <c r="J115" s="8"/>
      <c r="K115" s="8"/>
      <c r="L115" s="8"/>
      <c r="M115" s="8"/>
      <c r="N115" s="8"/>
      <c r="O115" s="8"/>
      <c r="P115" s="8"/>
      <c r="Q115" s="8"/>
      <c r="R115" s="8"/>
      <c r="S115" s="8"/>
      <c r="T115" s="8"/>
      <c r="U115" s="8"/>
      <c r="V115" s="8"/>
      <c r="W115" s="8"/>
      <c r="X115" s="8"/>
      <c r="Y115" s="8"/>
      <c r="Z115" s="8"/>
    </row>
    <row r="116" spans="1:26" ht="14.25" customHeight="1" x14ac:dyDescent="0.3">
      <c r="A116" s="8"/>
      <c r="B116" s="8"/>
      <c r="C116" s="8"/>
      <c r="D116" s="8"/>
      <c r="E116" s="8"/>
      <c r="F116" s="8"/>
      <c r="G116" s="8"/>
      <c r="H116" s="8"/>
      <c r="I116" s="89"/>
      <c r="J116" s="8"/>
      <c r="K116" s="8"/>
      <c r="L116" s="8"/>
      <c r="M116" s="8"/>
      <c r="N116" s="8"/>
      <c r="O116" s="8"/>
      <c r="P116" s="8"/>
      <c r="Q116" s="8"/>
      <c r="R116" s="8"/>
      <c r="S116" s="8"/>
      <c r="T116" s="8"/>
      <c r="U116" s="8"/>
      <c r="V116" s="8"/>
      <c r="W116" s="8"/>
      <c r="X116" s="8"/>
      <c r="Y116" s="8"/>
      <c r="Z116" s="8"/>
    </row>
    <row r="117" spans="1:26" ht="14.25" customHeight="1" x14ac:dyDescent="0.3">
      <c r="A117" s="8"/>
      <c r="B117" s="8"/>
      <c r="C117" s="8"/>
      <c r="D117" s="8"/>
      <c r="E117" s="8"/>
      <c r="F117" s="8"/>
      <c r="G117" s="8"/>
      <c r="H117" s="8"/>
      <c r="I117" s="89"/>
      <c r="J117" s="8"/>
      <c r="K117" s="8"/>
      <c r="L117" s="8"/>
      <c r="M117" s="8"/>
      <c r="N117" s="8"/>
      <c r="O117" s="8"/>
      <c r="P117" s="8"/>
      <c r="Q117" s="8"/>
      <c r="R117" s="8"/>
      <c r="S117" s="8"/>
      <c r="T117" s="8"/>
      <c r="U117" s="8"/>
      <c r="V117" s="8"/>
      <c r="W117" s="8"/>
      <c r="X117" s="8"/>
      <c r="Y117" s="8"/>
      <c r="Z117" s="8"/>
    </row>
    <row r="118" spans="1:26" ht="14.25" customHeight="1" x14ac:dyDescent="0.3">
      <c r="A118" s="8"/>
      <c r="B118" s="8"/>
      <c r="C118" s="8"/>
      <c r="D118" s="8"/>
      <c r="E118" s="8"/>
      <c r="F118" s="8"/>
      <c r="G118" s="8"/>
      <c r="H118" s="8"/>
      <c r="I118" s="89"/>
      <c r="J118" s="8"/>
      <c r="K118" s="8"/>
      <c r="L118" s="8"/>
      <c r="M118" s="8"/>
      <c r="N118" s="8"/>
      <c r="O118" s="8"/>
      <c r="P118" s="8"/>
      <c r="Q118" s="8"/>
      <c r="R118" s="8"/>
      <c r="S118" s="8"/>
      <c r="T118" s="8"/>
      <c r="U118" s="8"/>
      <c r="V118" s="8"/>
      <c r="W118" s="8"/>
      <c r="X118" s="8"/>
      <c r="Y118" s="8"/>
      <c r="Z118" s="8"/>
    </row>
    <row r="119" spans="1:26" ht="14.25" customHeight="1" x14ac:dyDescent="0.3">
      <c r="A119" s="8"/>
      <c r="B119" s="8"/>
      <c r="C119" s="8"/>
      <c r="D119" s="8"/>
      <c r="E119" s="8"/>
      <c r="F119" s="8"/>
      <c r="G119" s="8"/>
      <c r="H119" s="8"/>
      <c r="I119" s="89"/>
      <c r="J119" s="8"/>
      <c r="K119" s="8"/>
      <c r="L119" s="8"/>
      <c r="M119" s="8"/>
      <c r="N119" s="8"/>
      <c r="O119" s="8"/>
      <c r="P119" s="8"/>
      <c r="Q119" s="8"/>
      <c r="R119" s="8"/>
      <c r="S119" s="8"/>
      <c r="T119" s="8"/>
      <c r="U119" s="8"/>
      <c r="V119" s="8"/>
      <c r="W119" s="8"/>
      <c r="X119" s="8"/>
      <c r="Y119" s="8"/>
      <c r="Z119" s="8"/>
    </row>
    <row r="120" spans="1:26" ht="14.25" customHeight="1" x14ac:dyDescent="0.3">
      <c r="A120" s="8"/>
      <c r="B120" s="8"/>
      <c r="C120" s="8"/>
      <c r="D120" s="8"/>
      <c r="E120" s="8"/>
      <c r="F120" s="8"/>
      <c r="G120" s="8"/>
      <c r="H120" s="8"/>
      <c r="I120" s="89"/>
      <c r="J120" s="8"/>
      <c r="K120" s="8"/>
      <c r="L120" s="8"/>
      <c r="M120" s="8"/>
      <c r="N120" s="8"/>
      <c r="O120" s="8"/>
      <c r="P120" s="8"/>
      <c r="Q120" s="8"/>
      <c r="R120" s="8"/>
      <c r="S120" s="8"/>
      <c r="T120" s="8"/>
      <c r="U120" s="8"/>
      <c r="V120" s="8"/>
      <c r="W120" s="8"/>
      <c r="X120" s="8"/>
      <c r="Y120" s="8"/>
      <c r="Z120" s="8"/>
    </row>
    <row r="121" spans="1:26" ht="14.25" customHeight="1" x14ac:dyDescent="0.3">
      <c r="A121" s="8"/>
      <c r="B121" s="8"/>
      <c r="C121" s="8"/>
      <c r="D121" s="8"/>
      <c r="E121" s="8"/>
      <c r="F121" s="8"/>
      <c r="G121" s="8"/>
      <c r="H121" s="8"/>
      <c r="I121" s="89"/>
      <c r="J121" s="8"/>
      <c r="K121" s="8"/>
      <c r="L121" s="8"/>
      <c r="M121" s="8"/>
      <c r="N121" s="8"/>
      <c r="O121" s="8"/>
      <c r="P121" s="8"/>
      <c r="Q121" s="8"/>
      <c r="R121" s="8"/>
      <c r="S121" s="8"/>
      <c r="T121" s="8"/>
      <c r="U121" s="8"/>
      <c r="V121" s="8"/>
      <c r="W121" s="8"/>
      <c r="X121" s="8"/>
      <c r="Y121" s="8"/>
      <c r="Z121" s="8"/>
    </row>
    <row r="122" spans="1:26" ht="14.25" customHeight="1" x14ac:dyDescent="0.3">
      <c r="A122" s="8"/>
      <c r="B122" s="8"/>
      <c r="C122" s="8"/>
      <c r="D122" s="8"/>
      <c r="E122" s="8"/>
      <c r="F122" s="8"/>
      <c r="G122" s="8"/>
      <c r="H122" s="8"/>
      <c r="I122" s="89"/>
      <c r="J122" s="8"/>
      <c r="K122" s="8"/>
      <c r="L122" s="8"/>
      <c r="M122" s="8"/>
      <c r="N122" s="8"/>
      <c r="O122" s="8"/>
      <c r="P122" s="8"/>
      <c r="Q122" s="8"/>
      <c r="R122" s="8"/>
      <c r="S122" s="8"/>
      <c r="T122" s="8"/>
      <c r="U122" s="8"/>
      <c r="V122" s="8"/>
      <c r="W122" s="8"/>
      <c r="X122" s="8"/>
      <c r="Y122" s="8"/>
      <c r="Z122" s="8"/>
    </row>
    <row r="123" spans="1:26" ht="14.25" customHeight="1" x14ac:dyDescent="0.3">
      <c r="A123" s="8"/>
      <c r="B123" s="8"/>
      <c r="C123" s="8"/>
      <c r="D123" s="8"/>
      <c r="E123" s="8"/>
      <c r="F123" s="8"/>
      <c r="G123" s="8"/>
      <c r="H123" s="8"/>
      <c r="I123" s="89"/>
      <c r="J123" s="8"/>
      <c r="K123" s="8"/>
      <c r="L123" s="8"/>
      <c r="M123" s="8"/>
      <c r="N123" s="8"/>
      <c r="O123" s="8"/>
      <c r="P123" s="8"/>
      <c r="Q123" s="8"/>
      <c r="R123" s="8"/>
      <c r="S123" s="8"/>
      <c r="T123" s="8"/>
      <c r="U123" s="8"/>
      <c r="V123" s="8"/>
      <c r="W123" s="8"/>
      <c r="X123" s="8"/>
      <c r="Y123" s="8"/>
      <c r="Z123" s="8"/>
    </row>
    <row r="124" spans="1:26" ht="14.25" customHeight="1" x14ac:dyDescent="0.3">
      <c r="A124" s="8"/>
      <c r="B124" s="8"/>
      <c r="C124" s="8"/>
      <c r="D124" s="8"/>
      <c r="E124" s="8"/>
      <c r="F124" s="8"/>
      <c r="G124" s="8"/>
      <c r="H124" s="8"/>
      <c r="I124" s="89"/>
      <c r="J124" s="8"/>
      <c r="K124" s="8"/>
      <c r="L124" s="8"/>
      <c r="M124" s="8"/>
      <c r="N124" s="8"/>
      <c r="O124" s="8"/>
      <c r="P124" s="8"/>
      <c r="Q124" s="8"/>
      <c r="R124" s="8"/>
      <c r="S124" s="8"/>
      <c r="T124" s="8"/>
      <c r="U124" s="8"/>
      <c r="V124" s="8"/>
      <c r="W124" s="8"/>
      <c r="X124" s="8"/>
      <c r="Y124" s="8"/>
      <c r="Z124" s="8"/>
    </row>
    <row r="125" spans="1:26" ht="14.25" customHeight="1" x14ac:dyDescent="0.3">
      <c r="A125" s="8"/>
      <c r="B125" s="8"/>
      <c r="C125" s="8"/>
      <c r="D125" s="8"/>
      <c r="E125" s="8"/>
      <c r="F125" s="8"/>
      <c r="G125" s="8"/>
      <c r="H125" s="8"/>
      <c r="I125" s="89"/>
      <c r="J125" s="8"/>
      <c r="K125" s="8"/>
      <c r="L125" s="8"/>
      <c r="M125" s="8"/>
      <c r="N125" s="8"/>
      <c r="O125" s="8"/>
      <c r="P125" s="8"/>
      <c r="Q125" s="8"/>
      <c r="R125" s="8"/>
      <c r="S125" s="8"/>
      <c r="T125" s="8"/>
      <c r="U125" s="8"/>
      <c r="V125" s="8"/>
      <c r="W125" s="8"/>
      <c r="X125" s="8"/>
      <c r="Y125" s="8"/>
      <c r="Z125" s="8"/>
    </row>
    <row r="126" spans="1:26" ht="14.25" customHeight="1" x14ac:dyDescent="0.3">
      <c r="A126" s="8"/>
      <c r="B126" s="8"/>
      <c r="C126" s="8"/>
      <c r="D126" s="8"/>
      <c r="E126" s="8"/>
      <c r="F126" s="8"/>
      <c r="G126" s="8"/>
      <c r="H126" s="8"/>
      <c r="I126" s="89"/>
      <c r="J126" s="8"/>
      <c r="K126" s="8"/>
      <c r="L126" s="8"/>
      <c r="M126" s="8"/>
      <c r="N126" s="8"/>
      <c r="O126" s="8"/>
      <c r="P126" s="8"/>
      <c r="Q126" s="8"/>
      <c r="R126" s="8"/>
      <c r="S126" s="8"/>
      <c r="T126" s="8"/>
      <c r="U126" s="8"/>
      <c r="V126" s="8"/>
      <c r="W126" s="8"/>
      <c r="X126" s="8"/>
      <c r="Y126" s="8"/>
      <c r="Z126" s="8"/>
    </row>
    <row r="127" spans="1:26" ht="14.25" customHeight="1" x14ac:dyDescent="0.3">
      <c r="A127" s="8"/>
      <c r="B127" s="8"/>
      <c r="C127" s="8"/>
      <c r="D127" s="8"/>
      <c r="E127" s="8"/>
      <c r="F127" s="8"/>
      <c r="G127" s="8"/>
      <c r="H127" s="8"/>
      <c r="I127" s="89"/>
      <c r="J127" s="8"/>
      <c r="K127" s="8"/>
      <c r="L127" s="8"/>
      <c r="M127" s="8"/>
      <c r="N127" s="8"/>
      <c r="O127" s="8"/>
      <c r="P127" s="8"/>
      <c r="Q127" s="8"/>
      <c r="R127" s="8"/>
      <c r="S127" s="8"/>
      <c r="T127" s="8"/>
      <c r="U127" s="8"/>
      <c r="V127" s="8"/>
      <c r="W127" s="8"/>
      <c r="X127" s="8"/>
      <c r="Y127" s="8"/>
      <c r="Z127" s="8"/>
    </row>
    <row r="128" spans="1:26" ht="14.25" customHeight="1" x14ac:dyDescent="0.3">
      <c r="A128" s="8"/>
      <c r="B128" s="8"/>
      <c r="C128" s="8"/>
      <c r="D128" s="8"/>
      <c r="E128" s="8"/>
      <c r="F128" s="8"/>
      <c r="G128" s="8"/>
      <c r="H128" s="8"/>
      <c r="I128" s="89"/>
      <c r="J128" s="8"/>
      <c r="K128" s="8"/>
      <c r="L128" s="8"/>
      <c r="M128" s="8"/>
      <c r="N128" s="8"/>
      <c r="O128" s="8"/>
      <c r="P128" s="8"/>
      <c r="Q128" s="8"/>
      <c r="R128" s="8"/>
      <c r="S128" s="8"/>
      <c r="T128" s="8"/>
      <c r="U128" s="8"/>
      <c r="V128" s="8"/>
      <c r="W128" s="8"/>
      <c r="X128" s="8"/>
      <c r="Y128" s="8"/>
      <c r="Z128" s="8"/>
    </row>
    <row r="129" spans="1:26" ht="14.25" customHeight="1" x14ac:dyDescent="0.3">
      <c r="A129" s="8"/>
      <c r="B129" s="8"/>
      <c r="C129" s="8"/>
      <c r="D129" s="8"/>
      <c r="E129" s="8"/>
      <c r="F129" s="8"/>
      <c r="G129" s="8"/>
      <c r="H129" s="8"/>
      <c r="I129" s="89"/>
      <c r="J129" s="8"/>
      <c r="K129" s="8"/>
      <c r="L129" s="8"/>
      <c r="M129" s="8"/>
      <c r="N129" s="8"/>
      <c r="O129" s="8"/>
      <c r="P129" s="8"/>
      <c r="Q129" s="8"/>
      <c r="R129" s="8"/>
      <c r="S129" s="8"/>
      <c r="T129" s="8"/>
      <c r="U129" s="8"/>
      <c r="V129" s="8"/>
      <c r="W129" s="8"/>
      <c r="X129" s="8"/>
      <c r="Y129" s="8"/>
      <c r="Z129" s="8"/>
    </row>
    <row r="130" spans="1:26" ht="14.25" customHeight="1" x14ac:dyDescent="0.3">
      <c r="A130" s="8"/>
      <c r="B130" s="8"/>
      <c r="C130" s="8"/>
      <c r="D130" s="8"/>
      <c r="E130" s="8"/>
      <c r="F130" s="8"/>
      <c r="G130" s="8"/>
      <c r="H130" s="8"/>
      <c r="I130" s="89"/>
      <c r="J130" s="8"/>
      <c r="K130" s="8"/>
      <c r="L130" s="8"/>
      <c r="M130" s="8"/>
      <c r="N130" s="8"/>
      <c r="O130" s="8"/>
      <c r="P130" s="8"/>
      <c r="Q130" s="8"/>
      <c r="R130" s="8"/>
      <c r="S130" s="8"/>
      <c r="T130" s="8"/>
      <c r="U130" s="8"/>
      <c r="V130" s="8"/>
      <c r="W130" s="8"/>
      <c r="X130" s="8"/>
      <c r="Y130" s="8"/>
      <c r="Z130" s="8"/>
    </row>
    <row r="131" spans="1:26" ht="14.25" customHeight="1" x14ac:dyDescent="0.3">
      <c r="A131" s="8"/>
      <c r="B131" s="8"/>
      <c r="C131" s="8"/>
      <c r="D131" s="8"/>
      <c r="E131" s="8"/>
      <c r="F131" s="8"/>
      <c r="G131" s="8"/>
      <c r="H131" s="8"/>
      <c r="I131" s="89"/>
      <c r="J131" s="8"/>
      <c r="K131" s="8"/>
      <c r="L131" s="8"/>
      <c r="M131" s="8"/>
      <c r="N131" s="8"/>
      <c r="O131" s="8"/>
      <c r="P131" s="8"/>
      <c r="Q131" s="8"/>
      <c r="R131" s="8"/>
      <c r="S131" s="8"/>
      <c r="T131" s="8"/>
      <c r="U131" s="8"/>
      <c r="V131" s="8"/>
      <c r="W131" s="8"/>
      <c r="X131" s="8"/>
      <c r="Y131" s="8"/>
      <c r="Z131" s="8"/>
    </row>
    <row r="132" spans="1:26" ht="14.25" customHeight="1" x14ac:dyDescent="0.3">
      <c r="A132" s="8"/>
      <c r="B132" s="8"/>
      <c r="C132" s="8"/>
      <c r="D132" s="8"/>
      <c r="E132" s="8"/>
      <c r="F132" s="8"/>
      <c r="G132" s="8"/>
      <c r="H132" s="8"/>
      <c r="I132" s="89"/>
      <c r="J132" s="8"/>
      <c r="K132" s="8"/>
      <c r="L132" s="8"/>
      <c r="M132" s="8"/>
      <c r="N132" s="8"/>
      <c r="O132" s="8"/>
      <c r="P132" s="8"/>
      <c r="Q132" s="8"/>
      <c r="R132" s="8"/>
      <c r="S132" s="8"/>
      <c r="T132" s="8"/>
      <c r="U132" s="8"/>
      <c r="V132" s="8"/>
      <c r="W132" s="8"/>
      <c r="X132" s="8"/>
      <c r="Y132" s="8"/>
      <c r="Z132" s="8"/>
    </row>
    <row r="133" spans="1:26" ht="14.25" customHeight="1" x14ac:dyDescent="0.3">
      <c r="A133" s="8"/>
      <c r="B133" s="8"/>
      <c r="C133" s="8"/>
      <c r="D133" s="8"/>
      <c r="E133" s="8"/>
      <c r="F133" s="8"/>
      <c r="G133" s="8"/>
      <c r="H133" s="8"/>
      <c r="I133" s="89"/>
      <c r="J133" s="8"/>
      <c r="K133" s="8"/>
      <c r="L133" s="8"/>
      <c r="M133" s="8"/>
      <c r="N133" s="8"/>
      <c r="O133" s="8"/>
      <c r="P133" s="8"/>
      <c r="Q133" s="8"/>
      <c r="R133" s="8"/>
      <c r="S133" s="8"/>
      <c r="T133" s="8"/>
      <c r="U133" s="8"/>
      <c r="V133" s="8"/>
      <c r="W133" s="8"/>
      <c r="X133" s="8"/>
      <c r="Y133" s="8"/>
      <c r="Z133" s="8"/>
    </row>
    <row r="134" spans="1:26" ht="14.25" customHeight="1" x14ac:dyDescent="0.3">
      <c r="A134" s="8"/>
      <c r="B134" s="8"/>
      <c r="C134" s="8"/>
      <c r="D134" s="8"/>
      <c r="E134" s="8"/>
      <c r="F134" s="8"/>
      <c r="G134" s="8"/>
      <c r="H134" s="8"/>
      <c r="I134" s="89"/>
      <c r="J134" s="8"/>
      <c r="K134" s="8"/>
      <c r="L134" s="8"/>
      <c r="M134" s="8"/>
      <c r="N134" s="8"/>
      <c r="O134" s="8"/>
      <c r="P134" s="8"/>
      <c r="Q134" s="8"/>
      <c r="R134" s="8"/>
      <c r="S134" s="8"/>
      <c r="T134" s="8"/>
      <c r="U134" s="8"/>
      <c r="V134" s="8"/>
      <c r="W134" s="8"/>
      <c r="X134" s="8"/>
      <c r="Y134" s="8"/>
      <c r="Z134" s="8"/>
    </row>
    <row r="135" spans="1:26" ht="14.25" customHeight="1" x14ac:dyDescent="0.3">
      <c r="A135" s="8"/>
      <c r="B135" s="8"/>
      <c r="C135" s="8"/>
      <c r="D135" s="8"/>
      <c r="E135" s="8"/>
      <c r="F135" s="8"/>
      <c r="G135" s="8"/>
      <c r="H135" s="8"/>
      <c r="I135" s="89"/>
      <c r="J135" s="8"/>
      <c r="K135" s="8"/>
      <c r="L135" s="8"/>
      <c r="M135" s="8"/>
      <c r="N135" s="8"/>
      <c r="O135" s="8"/>
      <c r="P135" s="8"/>
      <c r="Q135" s="8"/>
      <c r="R135" s="8"/>
      <c r="S135" s="8"/>
      <c r="T135" s="8"/>
      <c r="U135" s="8"/>
      <c r="V135" s="8"/>
      <c r="W135" s="8"/>
      <c r="X135" s="8"/>
      <c r="Y135" s="8"/>
      <c r="Z135" s="8"/>
    </row>
    <row r="136" spans="1:26" ht="14.25" customHeight="1" x14ac:dyDescent="0.3">
      <c r="A136" s="8"/>
      <c r="B136" s="8"/>
      <c r="C136" s="8"/>
      <c r="D136" s="8"/>
      <c r="E136" s="8"/>
      <c r="F136" s="8"/>
      <c r="G136" s="8"/>
      <c r="H136" s="8"/>
      <c r="I136" s="89"/>
      <c r="J136" s="8"/>
      <c r="K136" s="8"/>
      <c r="L136" s="8"/>
      <c r="M136" s="8"/>
      <c r="N136" s="8"/>
      <c r="O136" s="8"/>
      <c r="P136" s="8"/>
      <c r="Q136" s="8"/>
      <c r="R136" s="8"/>
      <c r="S136" s="8"/>
      <c r="T136" s="8"/>
      <c r="U136" s="8"/>
      <c r="V136" s="8"/>
      <c r="W136" s="8"/>
      <c r="X136" s="8"/>
      <c r="Y136" s="8"/>
      <c r="Z136" s="8"/>
    </row>
    <row r="137" spans="1:26" ht="14.25" customHeight="1" x14ac:dyDescent="0.3">
      <c r="A137" s="8"/>
      <c r="B137" s="8"/>
      <c r="C137" s="8"/>
      <c r="D137" s="8"/>
      <c r="E137" s="8"/>
      <c r="F137" s="8"/>
      <c r="G137" s="8"/>
      <c r="H137" s="8"/>
      <c r="I137" s="89"/>
      <c r="J137" s="8"/>
      <c r="K137" s="8"/>
      <c r="L137" s="8"/>
      <c r="M137" s="8"/>
      <c r="N137" s="8"/>
      <c r="O137" s="8"/>
      <c r="P137" s="8"/>
      <c r="Q137" s="8"/>
      <c r="R137" s="8"/>
      <c r="S137" s="8"/>
      <c r="T137" s="8"/>
      <c r="U137" s="8"/>
      <c r="V137" s="8"/>
      <c r="W137" s="8"/>
      <c r="X137" s="8"/>
      <c r="Y137" s="8"/>
      <c r="Z137" s="8"/>
    </row>
    <row r="138" spans="1:26" ht="14.25" customHeight="1" x14ac:dyDescent="0.3">
      <c r="A138" s="8"/>
      <c r="B138" s="8"/>
      <c r="C138" s="8"/>
      <c r="D138" s="8"/>
      <c r="E138" s="8"/>
      <c r="F138" s="8"/>
      <c r="G138" s="8"/>
      <c r="H138" s="8"/>
      <c r="I138" s="89"/>
      <c r="J138" s="8"/>
      <c r="K138" s="8"/>
      <c r="L138" s="8"/>
      <c r="M138" s="8"/>
      <c r="N138" s="8"/>
      <c r="O138" s="8"/>
      <c r="P138" s="8"/>
      <c r="Q138" s="8"/>
      <c r="R138" s="8"/>
      <c r="S138" s="8"/>
      <c r="T138" s="8"/>
      <c r="U138" s="8"/>
      <c r="V138" s="8"/>
      <c r="W138" s="8"/>
      <c r="X138" s="8"/>
      <c r="Y138" s="8"/>
      <c r="Z138" s="8"/>
    </row>
    <row r="139" spans="1:26" ht="14.25" customHeight="1" x14ac:dyDescent="0.3">
      <c r="A139" s="8"/>
      <c r="B139" s="8"/>
      <c r="C139" s="8"/>
      <c r="D139" s="8"/>
      <c r="E139" s="8"/>
      <c r="F139" s="8"/>
      <c r="G139" s="8"/>
      <c r="H139" s="8"/>
      <c r="I139" s="89"/>
      <c r="J139" s="8"/>
      <c r="K139" s="8"/>
      <c r="L139" s="8"/>
      <c r="M139" s="8"/>
      <c r="N139" s="8"/>
      <c r="O139" s="8"/>
      <c r="P139" s="8"/>
      <c r="Q139" s="8"/>
      <c r="R139" s="8"/>
      <c r="S139" s="8"/>
      <c r="T139" s="8"/>
      <c r="U139" s="8"/>
      <c r="V139" s="8"/>
      <c r="W139" s="8"/>
      <c r="X139" s="8"/>
      <c r="Y139" s="8"/>
      <c r="Z139" s="8"/>
    </row>
    <row r="140" spans="1:26" ht="14.25" customHeight="1" x14ac:dyDescent="0.3">
      <c r="A140" s="8"/>
      <c r="B140" s="8"/>
      <c r="C140" s="8"/>
      <c r="D140" s="8"/>
      <c r="E140" s="8"/>
      <c r="F140" s="8"/>
      <c r="G140" s="8"/>
      <c r="H140" s="8"/>
      <c r="I140" s="89"/>
      <c r="J140" s="8"/>
      <c r="K140" s="8"/>
      <c r="L140" s="8"/>
      <c r="M140" s="8"/>
      <c r="N140" s="8"/>
      <c r="O140" s="8"/>
      <c r="P140" s="8"/>
      <c r="Q140" s="8"/>
      <c r="R140" s="8"/>
      <c r="S140" s="8"/>
      <c r="T140" s="8"/>
      <c r="U140" s="8"/>
      <c r="V140" s="8"/>
      <c r="W140" s="8"/>
      <c r="X140" s="8"/>
      <c r="Y140" s="8"/>
      <c r="Z140" s="8"/>
    </row>
    <row r="141" spans="1:26" ht="14.25" customHeight="1" x14ac:dyDescent="0.3">
      <c r="A141" s="8"/>
      <c r="B141" s="8"/>
      <c r="C141" s="8"/>
      <c r="D141" s="8"/>
      <c r="E141" s="8"/>
      <c r="F141" s="8"/>
      <c r="G141" s="8"/>
      <c r="H141" s="8"/>
      <c r="I141" s="89"/>
      <c r="J141" s="8"/>
      <c r="K141" s="8"/>
      <c r="L141" s="8"/>
      <c r="M141" s="8"/>
      <c r="N141" s="8"/>
      <c r="O141" s="8"/>
      <c r="P141" s="8"/>
      <c r="Q141" s="8"/>
      <c r="R141" s="8"/>
      <c r="S141" s="8"/>
      <c r="T141" s="8"/>
      <c r="U141" s="8"/>
      <c r="V141" s="8"/>
      <c r="W141" s="8"/>
      <c r="X141" s="8"/>
      <c r="Y141" s="8"/>
      <c r="Z141" s="8"/>
    </row>
    <row r="142" spans="1:26" ht="14.25" customHeight="1" x14ac:dyDescent="0.3">
      <c r="A142" s="8"/>
      <c r="B142" s="8"/>
      <c r="C142" s="8"/>
      <c r="D142" s="8"/>
      <c r="E142" s="8"/>
      <c r="F142" s="8"/>
      <c r="G142" s="8"/>
      <c r="H142" s="8"/>
      <c r="I142" s="89"/>
      <c r="J142" s="8"/>
      <c r="K142" s="8"/>
      <c r="L142" s="8"/>
      <c r="M142" s="8"/>
      <c r="N142" s="8"/>
      <c r="O142" s="8"/>
      <c r="P142" s="8"/>
      <c r="Q142" s="8"/>
      <c r="R142" s="8"/>
      <c r="S142" s="8"/>
      <c r="T142" s="8"/>
      <c r="U142" s="8"/>
      <c r="V142" s="8"/>
      <c r="W142" s="8"/>
      <c r="X142" s="8"/>
      <c r="Y142" s="8"/>
      <c r="Z142" s="8"/>
    </row>
    <row r="143" spans="1:26" ht="14.25" customHeight="1" x14ac:dyDescent="0.3">
      <c r="A143" s="8"/>
      <c r="B143" s="8"/>
      <c r="C143" s="8"/>
      <c r="D143" s="8"/>
      <c r="E143" s="8"/>
      <c r="F143" s="8"/>
      <c r="G143" s="8"/>
      <c r="H143" s="8"/>
      <c r="I143" s="89"/>
      <c r="J143" s="8"/>
      <c r="K143" s="8"/>
      <c r="L143" s="8"/>
      <c r="M143" s="8"/>
      <c r="N143" s="8"/>
      <c r="O143" s="8"/>
      <c r="P143" s="8"/>
      <c r="Q143" s="8"/>
      <c r="R143" s="8"/>
      <c r="S143" s="8"/>
      <c r="T143" s="8"/>
      <c r="U143" s="8"/>
      <c r="V143" s="8"/>
      <c r="W143" s="8"/>
      <c r="X143" s="8"/>
      <c r="Y143" s="8"/>
      <c r="Z143" s="8"/>
    </row>
    <row r="144" spans="1:26" ht="14.25" customHeight="1" x14ac:dyDescent="0.3">
      <c r="A144" s="8"/>
      <c r="B144" s="8"/>
      <c r="C144" s="8"/>
      <c r="D144" s="8"/>
      <c r="E144" s="8"/>
      <c r="F144" s="8"/>
      <c r="G144" s="8"/>
      <c r="H144" s="8"/>
      <c r="I144" s="89"/>
      <c r="J144" s="8"/>
      <c r="K144" s="8"/>
      <c r="L144" s="8"/>
      <c r="M144" s="8"/>
      <c r="N144" s="8"/>
      <c r="O144" s="8"/>
      <c r="P144" s="8"/>
      <c r="Q144" s="8"/>
      <c r="R144" s="8"/>
      <c r="S144" s="8"/>
      <c r="T144" s="8"/>
      <c r="U144" s="8"/>
      <c r="V144" s="8"/>
      <c r="W144" s="8"/>
      <c r="X144" s="8"/>
      <c r="Y144" s="8"/>
      <c r="Z144" s="8"/>
    </row>
    <row r="145" spans="1:26" ht="14.25" customHeight="1" x14ac:dyDescent="0.3">
      <c r="A145" s="8"/>
      <c r="B145" s="8"/>
      <c r="C145" s="8"/>
      <c r="D145" s="8"/>
      <c r="E145" s="8"/>
      <c r="F145" s="8"/>
      <c r="G145" s="8"/>
      <c r="H145" s="8"/>
      <c r="I145" s="89"/>
      <c r="J145" s="8"/>
      <c r="K145" s="8"/>
      <c r="L145" s="8"/>
      <c r="M145" s="8"/>
      <c r="N145" s="8"/>
      <c r="O145" s="8"/>
      <c r="P145" s="8"/>
      <c r="Q145" s="8"/>
      <c r="R145" s="8"/>
      <c r="S145" s="8"/>
      <c r="T145" s="8"/>
      <c r="U145" s="8"/>
      <c r="V145" s="8"/>
      <c r="W145" s="8"/>
      <c r="X145" s="8"/>
      <c r="Y145" s="8"/>
      <c r="Z145" s="8"/>
    </row>
    <row r="146" spans="1:26" ht="14.25" customHeight="1" x14ac:dyDescent="0.3">
      <c r="A146" s="8"/>
      <c r="B146" s="8"/>
      <c r="C146" s="8"/>
      <c r="D146" s="8"/>
      <c r="E146" s="8"/>
      <c r="F146" s="8"/>
      <c r="G146" s="8"/>
      <c r="H146" s="8"/>
      <c r="I146" s="89"/>
      <c r="J146" s="8"/>
      <c r="K146" s="8"/>
      <c r="L146" s="8"/>
      <c r="M146" s="8"/>
      <c r="N146" s="8"/>
      <c r="O146" s="8"/>
      <c r="P146" s="8"/>
      <c r="Q146" s="8"/>
      <c r="R146" s="8"/>
      <c r="S146" s="8"/>
      <c r="T146" s="8"/>
      <c r="U146" s="8"/>
      <c r="V146" s="8"/>
      <c r="W146" s="8"/>
      <c r="X146" s="8"/>
      <c r="Y146" s="8"/>
      <c r="Z146" s="8"/>
    </row>
    <row r="147" spans="1:26" ht="14.25" customHeight="1" x14ac:dyDescent="0.3">
      <c r="A147" s="8"/>
      <c r="B147" s="8"/>
      <c r="C147" s="8"/>
      <c r="D147" s="8"/>
      <c r="E147" s="8"/>
      <c r="F147" s="8"/>
      <c r="G147" s="8"/>
      <c r="H147" s="8"/>
      <c r="I147" s="89"/>
      <c r="J147" s="8"/>
      <c r="K147" s="8"/>
      <c r="L147" s="8"/>
      <c r="M147" s="8"/>
      <c r="N147" s="8"/>
      <c r="O147" s="8"/>
      <c r="P147" s="8"/>
      <c r="Q147" s="8"/>
      <c r="R147" s="8"/>
      <c r="S147" s="8"/>
      <c r="T147" s="8"/>
      <c r="U147" s="8"/>
      <c r="V147" s="8"/>
      <c r="W147" s="8"/>
      <c r="X147" s="8"/>
      <c r="Y147" s="8"/>
      <c r="Z147" s="8"/>
    </row>
    <row r="148" spans="1:26" ht="14.25" customHeight="1" x14ac:dyDescent="0.3">
      <c r="A148" s="8"/>
      <c r="B148" s="8"/>
      <c r="C148" s="8"/>
      <c r="D148" s="8"/>
      <c r="E148" s="8"/>
      <c r="F148" s="8"/>
      <c r="G148" s="8"/>
      <c r="H148" s="8"/>
      <c r="I148" s="89"/>
      <c r="J148" s="8"/>
      <c r="K148" s="8"/>
      <c r="L148" s="8"/>
      <c r="M148" s="8"/>
      <c r="N148" s="8"/>
      <c r="O148" s="8"/>
      <c r="P148" s="8"/>
      <c r="Q148" s="8"/>
      <c r="R148" s="8"/>
      <c r="S148" s="8"/>
      <c r="T148" s="8"/>
      <c r="U148" s="8"/>
      <c r="V148" s="8"/>
      <c r="W148" s="8"/>
      <c r="X148" s="8"/>
      <c r="Y148" s="8"/>
      <c r="Z148" s="8"/>
    </row>
    <row r="149" spans="1:26" ht="14.25" customHeight="1" x14ac:dyDescent="0.3">
      <c r="A149" s="8"/>
      <c r="B149" s="8"/>
      <c r="C149" s="8"/>
      <c r="D149" s="8"/>
      <c r="E149" s="8"/>
      <c r="F149" s="8"/>
      <c r="G149" s="8"/>
      <c r="H149" s="8"/>
      <c r="I149" s="89"/>
      <c r="J149" s="8"/>
      <c r="K149" s="8"/>
      <c r="L149" s="8"/>
      <c r="M149" s="8"/>
      <c r="N149" s="8"/>
      <c r="O149" s="8"/>
      <c r="P149" s="8"/>
      <c r="Q149" s="8"/>
      <c r="R149" s="8"/>
      <c r="S149" s="8"/>
      <c r="T149" s="8"/>
      <c r="U149" s="8"/>
      <c r="V149" s="8"/>
      <c r="W149" s="8"/>
      <c r="X149" s="8"/>
      <c r="Y149" s="8"/>
      <c r="Z149" s="8"/>
    </row>
    <row r="150" spans="1:26" ht="14.25" customHeight="1" x14ac:dyDescent="0.3">
      <c r="A150" s="8"/>
      <c r="B150" s="8"/>
      <c r="C150" s="8"/>
      <c r="D150" s="8"/>
      <c r="E150" s="8"/>
      <c r="F150" s="8"/>
      <c r="G150" s="8"/>
      <c r="H150" s="8"/>
      <c r="I150" s="89"/>
      <c r="J150" s="8"/>
      <c r="K150" s="8"/>
      <c r="L150" s="8"/>
      <c r="M150" s="8"/>
      <c r="N150" s="8"/>
      <c r="O150" s="8"/>
      <c r="P150" s="8"/>
      <c r="Q150" s="8"/>
      <c r="R150" s="8"/>
      <c r="S150" s="8"/>
      <c r="T150" s="8"/>
      <c r="U150" s="8"/>
      <c r="V150" s="8"/>
      <c r="W150" s="8"/>
      <c r="X150" s="8"/>
      <c r="Y150" s="8"/>
      <c r="Z150" s="8"/>
    </row>
    <row r="151" spans="1:26" ht="14.25" customHeight="1" x14ac:dyDescent="0.3">
      <c r="A151" s="8"/>
      <c r="B151" s="8"/>
      <c r="C151" s="8"/>
      <c r="D151" s="8"/>
      <c r="E151" s="8"/>
      <c r="F151" s="8"/>
      <c r="G151" s="8"/>
      <c r="H151" s="8"/>
      <c r="I151" s="89"/>
      <c r="J151" s="8"/>
      <c r="K151" s="8"/>
      <c r="L151" s="8"/>
      <c r="M151" s="8"/>
      <c r="N151" s="8"/>
      <c r="O151" s="8"/>
      <c r="P151" s="8"/>
      <c r="Q151" s="8"/>
      <c r="R151" s="8"/>
      <c r="S151" s="8"/>
      <c r="T151" s="8"/>
      <c r="U151" s="8"/>
      <c r="V151" s="8"/>
      <c r="W151" s="8"/>
      <c r="X151" s="8"/>
      <c r="Y151" s="8"/>
      <c r="Z151" s="8"/>
    </row>
    <row r="152" spans="1:26" ht="14.25" customHeight="1" x14ac:dyDescent="0.3">
      <c r="A152" s="8"/>
      <c r="B152" s="8"/>
      <c r="C152" s="8"/>
      <c r="D152" s="8"/>
      <c r="E152" s="8"/>
      <c r="F152" s="8"/>
      <c r="G152" s="8"/>
      <c r="H152" s="8"/>
      <c r="I152" s="89"/>
      <c r="J152" s="8"/>
      <c r="K152" s="8"/>
      <c r="L152" s="8"/>
      <c r="M152" s="8"/>
      <c r="N152" s="8"/>
      <c r="O152" s="8"/>
      <c r="P152" s="8"/>
      <c r="Q152" s="8"/>
      <c r="R152" s="8"/>
      <c r="S152" s="8"/>
      <c r="T152" s="8"/>
      <c r="U152" s="8"/>
      <c r="V152" s="8"/>
      <c r="W152" s="8"/>
      <c r="X152" s="8"/>
      <c r="Y152" s="8"/>
      <c r="Z152" s="8"/>
    </row>
    <row r="153" spans="1:26" ht="14.25" customHeight="1" x14ac:dyDescent="0.3">
      <c r="A153" s="8"/>
      <c r="B153" s="8"/>
      <c r="C153" s="8"/>
      <c r="D153" s="8"/>
      <c r="E153" s="8"/>
      <c r="F153" s="8"/>
      <c r="G153" s="8"/>
      <c r="H153" s="8"/>
      <c r="I153" s="89"/>
      <c r="J153" s="8"/>
      <c r="K153" s="8"/>
      <c r="L153" s="8"/>
      <c r="M153" s="8"/>
      <c r="N153" s="8"/>
      <c r="O153" s="8"/>
      <c r="P153" s="8"/>
      <c r="Q153" s="8"/>
      <c r="R153" s="8"/>
      <c r="S153" s="8"/>
      <c r="T153" s="8"/>
      <c r="U153" s="8"/>
      <c r="V153" s="8"/>
      <c r="W153" s="8"/>
      <c r="X153" s="8"/>
      <c r="Y153" s="8"/>
      <c r="Z153" s="8"/>
    </row>
    <row r="154" spans="1:26" ht="14.25" customHeight="1" x14ac:dyDescent="0.3">
      <c r="A154" s="8"/>
      <c r="B154" s="8"/>
      <c r="C154" s="8"/>
      <c r="D154" s="8"/>
      <c r="E154" s="8"/>
      <c r="F154" s="8"/>
      <c r="G154" s="8"/>
      <c r="H154" s="8"/>
      <c r="I154" s="89"/>
      <c r="J154" s="8"/>
      <c r="K154" s="8"/>
      <c r="L154" s="8"/>
      <c r="M154" s="8"/>
      <c r="N154" s="8"/>
      <c r="O154" s="8"/>
      <c r="P154" s="8"/>
      <c r="Q154" s="8"/>
      <c r="R154" s="8"/>
      <c r="S154" s="8"/>
      <c r="T154" s="8"/>
      <c r="U154" s="8"/>
      <c r="V154" s="8"/>
      <c r="W154" s="8"/>
      <c r="X154" s="8"/>
      <c r="Y154" s="8"/>
      <c r="Z154" s="8"/>
    </row>
    <row r="155" spans="1:26" ht="14.25" customHeight="1" x14ac:dyDescent="0.3">
      <c r="A155" s="8"/>
      <c r="B155" s="8"/>
      <c r="C155" s="8"/>
      <c r="D155" s="8"/>
      <c r="E155" s="8"/>
      <c r="F155" s="8"/>
      <c r="G155" s="8"/>
      <c r="H155" s="8"/>
      <c r="I155" s="89"/>
      <c r="J155" s="8"/>
      <c r="K155" s="8"/>
      <c r="L155" s="8"/>
      <c r="M155" s="8"/>
      <c r="N155" s="8"/>
      <c r="O155" s="8"/>
      <c r="P155" s="8"/>
      <c r="Q155" s="8"/>
      <c r="R155" s="8"/>
      <c r="S155" s="8"/>
      <c r="T155" s="8"/>
      <c r="U155" s="8"/>
      <c r="V155" s="8"/>
      <c r="W155" s="8"/>
      <c r="X155" s="8"/>
      <c r="Y155" s="8"/>
      <c r="Z155" s="8"/>
    </row>
    <row r="156" spans="1:26" ht="14.25" customHeight="1" x14ac:dyDescent="0.3">
      <c r="A156" s="8"/>
      <c r="B156" s="8"/>
      <c r="C156" s="8"/>
      <c r="D156" s="8"/>
      <c r="E156" s="8"/>
      <c r="F156" s="8"/>
      <c r="G156" s="8"/>
      <c r="H156" s="8"/>
      <c r="I156" s="89"/>
      <c r="J156" s="8"/>
      <c r="K156" s="8"/>
      <c r="L156" s="8"/>
      <c r="M156" s="8"/>
      <c r="N156" s="8"/>
      <c r="O156" s="8"/>
      <c r="P156" s="8"/>
      <c r="Q156" s="8"/>
      <c r="R156" s="8"/>
      <c r="S156" s="8"/>
      <c r="T156" s="8"/>
      <c r="U156" s="8"/>
      <c r="V156" s="8"/>
      <c r="W156" s="8"/>
      <c r="X156" s="8"/>
      <c r="Y156" s="8"/>
      <c r="Z156" s="8"/>
    </row>
    <row r="157" spans="1:26" ht="14.25" customHeight="1" x14ac:dyDescent="0.3">
      <c r="A157" s="8"/>
      <c r="B157" s="8"/>
      <c r="C157" s="8"/>
      <c r="D157" s="8"/>
      <c r="E157" s="8"/>
      <c r="F157" s="8"/>
      <c r="G157" s="8"/>
      <c r="H157" s="8"/>
      <c r="I157" s="89"/>
      <c r="J157" s="8"/>
      <c r="K157" s="8"/>
      <c r="L157" s="8"/>
      <c r="M157" s="8"/>
      <c r="N157" s="8"/>
      <c r="O157" s="8"/>
      <c r="P157" s="8"/>
      <c r="Q157" s="8"/>
      <c r="R157" s="8"/>
      <c r="S157" s="8"/>
      <c r="T157" s="8"/>
      <c r="U157" s="8"/>
      <c r="V157" s="8"/>
      <c r="W157" s="8"/>
      <c r="X157" s="8"/>
      <c r="Y157" s="8"/>
      <c r="Z157" s="8"/>
    </row>
    <row r="158" spans="1:26" ht="14.25" customHeight="1" x14ac:dyDescent="0.3">
      <c r="A158" s="8"/>
      <c r="B158" s="8"/>
      <c r="C158" s="8"/>
      <c r="D158" s="8"/>
      <c r="E158" s="8"/>
      <c r="F158" s="8"/>
      <c r="G158" s="8"/>
      <c r="H158" s="8"/>
      <c r="I158" s="89"/>
      <c r="J158" s="8"/>
      <c r="K158" s="8"/>
      <c r="L158" s="8"/>
      <c r="M158" s="8"/>
      <c r="N158" s="8"/>
      <c r="O158" s="8"/>
      <c r="P158" s="8"/>
      <c r="Q158" s="8"/>
      <c r="R158" s="8"/>
      <c r="S158" s="8"/>
      <c r="T158" s="8"/>
      <c r="U158" s="8"/>
      <c r="V158" s="8"/>
      <c r="W158" s="8"/>
      <c r="X158" s="8"/>
      <c r="Y158" s="8"/>
      <c r="Z158" s="8"/>
    </row>
    <row r="159" spans="1:26" ht="14.25" customHeight="1" x14ac:dyDescent="0.3">
      <c r="A159" s="8"/>
      <c r="B159" s="8"/>
      <c r="C159" s="8"/>
      <c r="D159" s="8"/>
      <c r="E159" s="8"/>
      <c r="F159" s="8"/>
      <c r="G159" s="8"/>
      <c r="H159" s="8"/>
      <c r="I159" s="89"/>
      <c r="J159" s="8"/>
      <c r="K159" s="8"/>
      <c r="L159" s="8"/>
      <c r="M159" s="8"/>
      <c r="N159" s="8"/>
      <c r="O159" s="8"/>
      <c r="P159" s="8"/>
      <c r="Q159" s="8"/>
      <c r="R159" s="8"/>
      <c r="S159" s="8"/>
      <c r="T159" s="8"/>
      <c r="U159" s="8"/>
      <c r="V159" s="8"/>
      <c r="W159" s="8"/>
      <c r="X159" s="8"/>
      <c r="Y159" s="8"/>
      <c r="Z159" s="8"/>
    </row>
    <row r="160" spans="1:26" ht="14.25" customHeight="1" x14ac:dyDescent="0.3">
      <c r="A160" s="8"/>
      <c r="B160" s="8"/>
      <c r="C160" s="8"/>
      <c r="D160" s="8"/>
      <c r="E160" s="8"/>
      <c r="F160" s="8"/>
      <c r="G160" s="8"/>
      <c r="H160" s="8"/>
      <c r="I160" s="89"/>
      <c r="J160" s="8"/>
      <c r="K160" s="8"/>
      <c r="L160" s="8"/>
      <c r="M160" s="8"/>
      <c r="N160" s="8"/>
      <c r="O160" s="8"/>
      <c r="P160" s="8"/>
      <c r="Q160" s="8"/>
      <c r="R160" s="8"/>
      <c r="S160" s="8"/>
      <c r="T160" s="8"/>
      <c r="U160" s="8"/>
      <c r="V160" s="8"/>
      <c r="W160" s="8"/>
      <c r="X160" s="8"/>
      <c r="Y160" s="8"/>
      <c r="Z160" s="8"/>
    </row>
    <row r="161" spans="1:26" ht="14.25" customHeight="1" x14ac:dyDescent="0.3">
      <c r="A161" s="8"/>
      <c r="B161" s="8"/>
      <c r="C161" s="8"/>
      <c r="D161" s="8"/>
      <c r="E161" s="8"/>
      <c r="F161" s="8"/>
      <c r="G161" s="8"/>
      <c r="H161" s="8"/>
      <c r="I161" s="89"/>
      <c r="J161" s="8"/>
      <c r="K161" s="8"/>
      <c r="L161" s="8"/>
      <c r="M161" s="8"/>
      <c r="N161" s="8"/>
      <c r="O161" s="8"/>
      <c r="P161" s="8"/>
      <c r="Q161" s="8"/>
      <c r="R161" s="8"/>
      <c r="S161" s="8"/>
      <c r="T161" s="8"/>
      <c r="U161" s="8"/>
      <c r="V161" s="8"/>
      <c r="W161" s="8"/>
      <c r="X161" s="8"/>
      <c r="Y161" s="8"/>
      <c r="Z161" s="8"/>
    </row>
    <row r="162" spans="1:26" ht="14.25" customHeight="1" x14ac:dyDescent="0.3">
      <c r="A162" s="8"/>
      <c r="B162" s="8"/>
      <c r="C162" s="8"/>
      <c r="D162" s="8"/>
      <c r="E162" s="8"/>
      <c r="F162" s="8"/>
      <c r="G162" s="8"/>
      <c r="H162" s="8"/>
      <c r="I162" s="89"/>
      <c r="J162" s="8"/>
      <c r="K162" s="8"/>
      <c r="L162" s="8"/>
      <c r="M162" s="8"/>
      <c r="N162" s="8"/>
      <c r="O162" s="8"/>
      <c r="P162" s="8"/>
      <c r="Q162" s="8"/>
      <c r="R162" s="8"/>
      <c r="S162" s="8"/>
      <c r="T162" s="8"/>
      <c r="U162" s="8"/>
      <c r="V162" s="8"/>
      <c r="W162" s="8"/>
      <c r="X162" s="8"/>
      <c r="Y162" s="8"/>
      <c r="Z162" s="8"/>
    </row>
    <row r="163" spans="1:26" ht="14.25" customHeight="1" x14ac:dyDescent="0.3">
      <c r="A163" s="8"/>
      <c r="B163" s="8"/>
      <c r="C163" s="8"/>
      <c r="D163" s="8"/>
      <c r="E163" s="8"/>
      <c r="F163" s="8"/>
      <c r="G163" s="8"/>
      <c r="H163" s="8"/>
      <c r="I163" s="89"/>
      <c r="J163" s="8"/>
      <c r="K163" s="8"/>
      <c r="L163" s="8"/>
      <c r="M163" s="8"/>
      <c r="N163" s="8"/>
      <c r="O163" s="8"/>
      <c r="P163" s="8"/>
      <c r="Q163" s="8"/>
      <c r="R163" s="8"/>
      <c r="S163" s="8"/>
      <c r="T163" s="8"/>
      <c r="U163" s="8"/>
      <c r="V163" s="8"/>
      <c r="W163" s="8"/>
      <c r="X163" s="8"/>
      <c r="Y163" s="8"/>
      <c r="Z163" s="8"/>
    </row>
    <row r="164" spans="1:26" ht="14.25" customHeight="1" x14ac:dyDescent="0.3">
      <c r="A164" s="8"/>
      <c r="B164" s="8"/>
      <c r="C164" s="8"/>
      <c r="D164" s="8"/>
      <c r="E164" s="8"/>
      <c r="F164" s="8"/>
      <c r="G164" s="8"/>
      <c r="H164" s="8"/>
      <c r="I164" s="89"/>
      <c r="J164" s="8"/>
      <c r="K164" s="8"/>
      <c r="L164" s="8"/>
      <c r="M164" s="8"/>
      <c r="N164" s="8"/>
      <c r="O164" s="8"/>
      <c r="P164" s="8"/>
      <c r="Q164" s="8"/>
      <c r="R164" s="8"/>
      <c r="S164" s="8"/>
      <c r="T164" s="8"/>
      <c r="U164" s="8"/>
      <c r="V164" s="8"/>
      <c r="W164" s="8"/>
      <c r="X164" s="8"/>
      <c r="Y164" s="8"/>
      <c r="Z164" s="8"/>
    </row>
    <row r="165" spans="1:26" ht="14.25" customHeight="1" x14ac:dyDescent="0.3">
      <c r="A165" s="8"/>
      <c r="B165" s="8"/>
      <c r="C165" s="8"/>
      <c r="D165" s="8"/>
      <c r="E165" s="8"/>
      <c r="F165" s="8"/>
      <c r="G165" s="8"/>
      <c r="H165" s="8"/>
      <c r="I165" s="89"/>
      <c r="J165" s="8"/>
      <c r="K165" s="8"/>
      <c r="L165" s="8"/>
      <c r="M165" s="8"/>
      <c r="N165" s="8"/>
      <c r="O165" s="8"/>
      <c r="P165" s="8"/>
      <c r="Q165" s="8"/>
      <c r="R165" s="8"/>
      <c r="S165" s="8"/>
      <c r="T165" s="8"/>
      <c r="U165" s="8"/>
      <c r="V165" s="8"/>
      <c r="W165" s="8"/>
      <c r="X165" s="8"/>
      <c r="Y165" s="8"/>
      <c r="Z165" s="8"/>
    </row>
    <row r="166" spans="1:26" ht="14.25" customHeight="1" x14ac:dyDescent="0.3">
      <c r="A166" s="8"/>
      <c r="B166" s="8"/>
      <c r="C166" s="8"/>
      <c r="D166" s="8"/>
      <c r="E166" s="8"/>
      <c r="F166" s="8"/>
      <c r="G166" s="8"/>
      <c r="H166" s="8"/>
      <c r="I166" s="89"/>
      <c r="J166" s="8"/>
      <c r="K166" s="8"/>
      <c r="L166" s="8"/>
      <c r="M166" s="8"/>
      <c r="N166" s="8"/>
      <c r="O166" s="8"/>
      <c r="P166" s="8"/>
      <c r="Q166" s="8"/>
      <c r="R166" s="8"/>
      <c r="S166" s="8"/>
      <c r="T166" s="8"/>
      <c r="U166" s="8"/>
      <c r="V166" s="8"/>
      <c r="W166" s="8"/>
      <c r="X166" s="8"/>
      <c r="Y166" s="8"/>
      <c r="Z166" s="8"/>
    </row>
    <row r="167" spans="1:26" ht="14.25" customHeight="1" x14ac:dyDescent="0.3">
      <c r="A167" s="8"/>
      <c r="B167" s="8"/>
      <c r="C167" s="8"/>
      <c r="D167" s="8"/>
      <c r="E167" s="8"/>
      <c r="F167" s="8"/>
      <c r="G167" s="8"/>
      <c r="H167" s="8"/>
      <c r="I167" s="89"/>
      <c r="J167" s="8"/>
      <c r="K167" s="8"/>
      <c r="L167" s="8"/>
      <c r="M167" s="8"/>
      <c r="N167" s="8"/>
      <c r="O167" s="8"/>
      <c r="P167" s="8"/>
      <c r="Q167" s="8"/>
      <c r="R167" s="8"/>
      <c r="S167" s="8"/>
      <c r="T167" s="8"/>
      <c r="U167" s="8"/>
      <c r="V167" s="8"/>
      <c r="W167" s="8"/>
      <c r="X167" s="8"/>
      <c r="Y167" s="8"/>
      <c r="Z167" s="8"/>
    </row>
    <row r="168" spans="1:26" ht="14.25" customHeight="1" x14ac:dyDescent="0.3">
      <c r="A168" s="8"/>
      <c r="B168" s="8"/>
      <c r="C168" s="8"/>
      <c r="D168" s="8"/>
      <c r="E168" s="8"/>
      <c r="F168" s="8"/>
      <c r="G168" s="8"/>
      <c r="H168" s="8"/>
      <c r="I168" s="89"/>
      <c r="J168" s="8"/>
      <c r="K168" s="8"/>
      <c r="L168" s="8"/>
      <c r="M168" s="8"/>
      <c r="N168" s="8"/>
      <c r="O168" s="8"/>
      <c r="P168" s="8"/>
      <c r="Q168" s="8"/>
      <c r="R168" s="8"/>
      <c r="S168" s="8"/>
      <c r="T168" s="8"/>
      <c r="U168" s="8"/>
      <c r="V168" s="8"/>
      <c r="W168" s="8"/>
      <c r="X168" s="8"/>
      <c r="Y168" s="8"/>
      <c r="Z168" s="8"/>
    </row>
    <row r="169" spans="1:26" ht="14.25" customHeight="1" x14ac:dyDescent="0.3">
      <c r="A169" s="8"/>
      <c r="B169" s="8"/>
      <c r="C169" s="8"/>
      <c r="D169" s="8"/>
      <c r="E169" s="8"/>
      <c r="F169" s="8"/>
      <c r="G169" s="8"/>
      <c r="H169" s="8"/>
      <c r="I169" s="89"/>
      <c r="J169" s="8"/>
      <c r="K169" s="8"/>
      <c r="L169" s="8"/>
      <c r="M169" s="8"/>
      <c r="N169" s="8"/>
      <c r="O169" s="8"/>
      <c r="P169" s="8"/>
      <c r="Q169" s="8"/>
      <c r="R169" s="8"/>
      <c r="S169" s="8"/>
      <c r="T169" s="8"/>
      <c r="U169" s="8"/>
      <c r="V169" s="8"/>
      <c r="W169" s="8"/>
      <c r="X169" s="8"/>
      <c r="Y169" s="8"/>
      <c r="Z169" s="8"/>
    </row>
    <row r="170" spans="1:26" ht="14.25" customHeight="1" x14ac:dyDescent="0.3">
      <c r="A170" s="8"/>
      <c r="B170" s="8"/>
      <c r="C170" s="8"/>
      <c r="D170" s="8"/>
      <c r="E170" s="8"/>
      <c r="F170" s="8"/>
      <c r="G170" s="8"/>
      <c r="H170" s="8"/>
      <c r="I170" s="89"/>
      <c r="J170" s="8"/>
      <c r="K170" s="8"/>
      <c r="L170" s="8"/>
      <c r="M170" s="8"/>
      <c r="N170" s="8"/>
      <c r="O170" s="8"/>
      <c r="P170" s="8"/>
      <c r="Q170" s="8"/>
      <c r="R170" s="8"/>
      <c r="S170" s="8"/>
      <c r="T170" s="8"/>
      <c r="U170" s="8"/>
      <c r="V170" s="8"/>
      <c r="W170" s="8"/>
      <c r="X170" s="8"/>
      <c r="Y170" s="8"/>
      <c r="Z170" s="8"/>
    </row>
    <row r="171" spans="1:26" ht="14.25" customHeight="1" x14ac:dyDescent="0.3">
      <c r="A171" s="8"/>
      <c r="B171" s="8"/>
      <c r="C171" s="8"/>
      <c r="D171" s="8"/>
      <c r="E171" s="8"/>
      <c r="F171" s="8"/>
      <c r="G171" s="8"/>
      <c r="H171" s="8"/>
      <c r="I171" s="89"/>
      <c r="J171" s="8"/>
      <c r="K171" s="8"/>
      <c r="L171" s="8"/>
      <c r="M171" s="8"/>
      <c r="N171" s="8"/>
      <c r="O171" s="8"/>
      <c r="P171" s="8"/>
      <c r="Q171" s="8"/>
      <c r="R171" s="8"/>
      <c r="S171" s="8"/>
      <c r="T171" s="8"/>
      <c r="U171" s="8"/>
      <c r="V171" s="8"/>
      <c r="W171" s="8"/>
      <c r="X171" s="8"/>
      <c r="Y171" s="8"/>
      <c r="Z171" s="8"/>
    </row>
    <row r="172" spans="1:26" ht="14.25" customHeight="1" x14ac:dyDescent="0.3">
      <c r="A172" s="8"/>
      <c r="B172" s="8"/>
      <c r="C172" s="8"/>
      <c r="D172" s="8"/>
      <c r="E172" s="8"/>
      <c r="F172" s="8"/>
      <c r="G172" s="8"/>
      <c r="H172" s="8"/>
      <c r="I172" s="89"/>
      <c r="J172" s="8"/>
      <c r="K172" s="8"/>
      <c r="L172" s="8"/>
      <c r="M172" s="8"/>
      <c r="N172" s="8"/>
      <c r="O172" s="8"/>
      <c r="P172" s="8"/>
      <c r="Q172" s="8"/>
      <c r="R172" s="8"/>
      <c r="S172" s="8"/>
      <c r="T172" s="8"/>
      <c r="U172" s="8"/>
      <c r="V172" s="8"/>
      <c r="W172" s="8"/>
      <c r="X172" s="8"/>
      <c r="Y172" s="8"/>
      <c r="Z172" s="8"/>
    </row>
    <row r="173" spans="1:26" ht="14.25" customHeight="1" x14ac:dyDescent="0.3">
      <c r="A173" s="8"/>
      <c r="B173" s="8"/>
      <c r="C173" s="8"/>
      <c r="D173" s="8"/>
      <c r="E173" s="8"/>
      <c r="F173" s="8"/>
      <c r="G173" s="8"/>
      <c r="H173" s="8"/>
      <c r="I173" s="89"/>
      <c r="J173" s="8"/>
      <c r="K173" s="8"/>
      <c r="L173" s="8"/>
      <c r="M173" s="8"/>
      <c r="N173" s="8"/>
      <c r="O173" s="8"/>
      <c r="P173" s="8"/>
      <c r="Q173" s="8"/>
      <c r="R173" s="8"/>
      <c r="S173" s="8"/>
      <c r="T173" s="8"/>
      <c r="U173" s="8"/>
      <c r="V173" s="8"/>
      <c r="W173" s="8"/>
      <c r="X173" s="8"/>
      <c r="Y173" s="8"/>
      <c r="Z173" s="8"/>
    </row>
    <row r="174" spans="1:26" ht="14.25" customHeight="1" x14ac:dyDescent="0.3">
      <c r="A174" s="8"/>
      <c r="B174" s="8"/>
      <c r="C174" s="8"/>
      <c r="D174" s="8"/>
      <c r="E174" s="8"/>
      <c r="F174" s="8"/>
      <c r="G174" s="8"/>
      <c r="H174" s="8"/>
      <c r="I174" s="89"/>
      <c r="J174" s="8"/>
      <c r="K174" s="8"/>
      <c r="L174" s="8"/>
      <c r="M174" s="8"/>
      <c r="N174" s="8"/>
      <c r="O174" s="8"/>
      <c r="P174" s="8"/>
      <c r="Q174" s="8"/>
      <c r="R174" s="8"/>
      <c r="S174" s="8"/>
      <c r="T174" s="8"/>
      <c r="U174" s="8"/>
      <c r="V174" s="8"/>
      <c r="W174" s="8"/>
      <c r="X174" s="8"/>
      <c r="Y174" s="8"/>
      <c r="Z174" s="8"/>
    </row>
    <row r="175" spans="1:26" ht="14.25" customHeight="1" x14ac:dyDescent="0.3">
      <c r="A175" s="8"/>
      <c r="B175" s="8"/>
      <c r="C175" s="8"/>
      <c r="D175" s="8"/>
      <c r="E175" s="8"/>
      <c r="F175" s="8"/>
      <c r="G175" s="8"/>
      <c r="H175" s="8"/>
      <c r="I175" s="89"/>
      <c r="J175" s="8"/>
      <c r="K175" s="8"/>
      <c r="L175" s="8"/>
      <c r="M175" s="8"/>
      <c r="N175" s="8"/>
      <c r="O175" s="8"/>
      <c r="P175" s="8"/>
      <c r="Q175" s="8"/>
      <c r="R175" s="8"/>
      <c r="S175" s="8"/>
      <c r="T175" s="8"/>
      <c r="U175" s="8"/>
      <c r="V175" s="8"/>
      <c r="W175" s="8"/>
      <c r="X175" s="8"/>
      <c r="Y175" s="8"/>
      <c r="Z175" s="8"/>
    </row>
    <row r="176" spans="1:26" ht="14.25" customHeight="1" x14ac:dyDescent="0.3">
      <c r="A176" s="8"/>
      <c r="B176" s="8"/>
      <c r="C176" s="8"/>
      <c r="D176" s="8"/>
      <c r="E176" s="8"/>
      <c r="F176" s="8"/>
      <c r="G176" s="8"/>
      <c r="H176" s="8"/>
      <c r="I176" s="89"/>
      <c r="J176" s="8"/>
      <c r="K176" s="8"/>
      <c r="L176" s="8"/>
      <c r="M176" s="8"/>
      <c r="N176" s="8"/>
      <c r="O176" s="8"/>
      <c r="P176" s="8"/>
      <c r="Q176" s="8"/>
      <c r="R176" s="8"/>
      <c r="S176" s="8"/>
      <c r="T176" s="8"/>
      <c r="U176" s="8"/>
      <c r="V176" s="8"/>
      <c r="W176" s="8"/>
      <c r="X176" s="8"/>
      <c r="Y176" s="8"/>
      <c r="Z176" s="8"/>
    </row>
    <row r="177" spans="1:26" ht="14.25" customHeight="1" x14ac:dyDescent="0.3">
      <c r="A177" s="8"/>
      <c r="B177" s="8"/>
      <c r="C177" s="8"/>
      <c r="D177" s="8"/>
      <c r="E177" s="8"/>
      <c r="F177" s="8"/>
      <c r="G177" s="8"/>
      <c r="H177" s="8"/>
      <c r="I177" s="89"/>
      <c r="J177" s="8"/>
      <c r="K177" s="8"/>
      <c r="L177" s="8"/>
      <c r="M177" s="8"/>
      <c r="N177" s="8"/>
      <c r="O177" s="8"/>
      <c r="P177" s="8"/>
      <c r="Q177" s="8"/>
      <c r="R177" s="8"/>
      <c r="S177" s="8"/>
      <c r="T177" s="8"/>
      <c r="U177" s="8"/>
      <c r="V177" s="8"/>
      <c r="W177" s="8"/>
      <c r="X177" s="8"/>
      <c r="Y177" s="8"/>
      <c r="Z177" s="8"/>
    </row>
    <row r="178" spans="1:26" ht="14.25" customHeight="1" x14ac:dyDescent="0.3">
      <c r="A178" s="8"/>
      <c r="B178" s="8"/>
      <c r="C178" s="8"/>
      <c r="D178" s="8"/>
      <c r="E178" s="8"/>
      <c r="F178" s="8"/>
      <c r="G178" s="8"/>
      <c r="H178" s="8"/>
      <c r="I178" s="89"/>
      <c r="J178" s="8"/>
      <c r="K178" s="8"/>
      <c r="L178" s="8"/>
      <c r="M178" s="8"/>
      <c r="N178" s="8"/>
      <c r="O178" s="8"/>
      <c r="P178" s="8"/>
      <c r="Q178" s="8"/>
      <c r="R178" s="8"/>
      <c r="S178" s="8"/>
      <c r="T178" s="8"/>
      <c r="U178" s="8"/>
      <c r="V178" s="8"/>
      <c r="W178" s="8"/>
      <c r="X178" s="8"/>
      <c r="Y178" s="8"/>
      <c r="Z178" s="8"/>
    </row>
    <row r="179" spans="1:26" ht="14.25" customHeight="1" x14ac:dyDescent="0.3">
      <c r="A179" s="8"/>
      <c r="B179" s="8"/>
      <c r="C179" s="8"/>
      <c r="D179" s="8"/>
      <c r="E179" s="8"/>
      <c r="F179" s="8"/>
      <c r="G179" s="8"/>
      <c r="H179" s="8"/>
      <c r="I179" s="89"/>
      <c r="J179" s="8"/>
      <c r="K179" s="8"/>
      <c r="L179" s="8"/>
      <c r="M179" s="8"/>
      <c r="N179" s="8"/>
      <c r="O179" s="8"/>
      <c r="P179" s="8"/>
      <c r="Q179" s="8"/>
      <c r="R179" s="8"/>
      <c r="S179" s="8"/>
      <c r="T179" s="8"/>
      <c r="U179" s="8"/>
      <c r="V179" s="8"/>
      <c r="W179" s="8"/>
      <c r="X179" s="8"/>
      <c r="Y179" s="8"/>
      <c r="Z179" s="8"/>
    </row>
    <row r="180" spans="1:26" ht="14.25" customHeight="1" x14ac:dyDescent="0.3">
      <c r="A180" s="8"/>
      <c r="B180" s="8"/>
      <c r="C180" s="8"/>
      <c r="D180" s="8"/>
      <c r="E180" s="8"/>
      <c r="F180" s="8"/>
      <c r="G180" s="8"/>
      <c r="H180" s="8"/>
      <c r="I180" s="89"/>
      <c r="J180" s="8"/>
      <c r="K180" s="8"/>
      <c r="L180" s="8"/>
      <c r="M180" s="8"/>
      <c r="N180" s="8"/>
      <c r="O180" s="8"/>
      <c r="P180" s="8"/>
      <c r="Q180" s="8"/>
      <c r="R180" s="8"/>
      <c r="S180" s="8"/>
      <c r="T180" s="8"/>
      <c r="U180" s="8"/>
      <c r="V180" s="8"/>
      <c r="W180" s="8"/>
      <c r="X180" s="8"/>
      <c r="Y180" s="8"/>
      <c r="Z180" s="8"/>
    </row>
    <row r="181" spans="1:26" ht="14.25" customHeight="1" x14ac:dyDescent="0.3">
      <c r="A181" s="8"/>
      <c r="B181" s="8"/>
      <c r="C181" s="8"/>
      <c r="D181" s="8"/>
      <c r="E181" s="8"/>
      <c r="F181" s="8"/>
      <c r="G181" s="8"/>
      <c r="H181" s="8"/>
      <c r="I181" s="89"/>
      <c r="J181" s="8"/>
      <c r="K181" s="8"/>
      <c r="L181" s="8"/>
      <c r="M181" s="8"/>
      <c r="N181" s="8"/>
      <c r="O181" s="8"/>
      <c r="P181" s="8"/>
      <c r="Q181" s="8"/>
      <c r="R181" s="8"/>
      <c r="S181" s="8"/>
      <c r="T181" s="8"/>
      <c r="U181" s="8"/>
      <c r="V181" s="8"/>
      <c r="W181" s="8"/>
      <c r="X181" s="8"/>
      <c r="Y181" s="8"/>
      <c r="Z181" s="8"/>
    </row>
    <row r="182" spans="1:26" ht="14.25" customHeight="1" x14ac:dyDescent="0.3">
      <c r="A182" s="8"/>
      <c r="B182" s="8"/>
      <c r="C182" s="8"/>
      <c r="D182" s="8"/>
      <c r="E182" s="8"/>
      <c r="F182" s="8"/>
      <c r="G182" s="8"/>
      <c r="H182" s="8"/>
      <c r="I182" s="89"/>
      <c r="J182" s="8"/>
      <c r="K182" s="8"/>
      <c r="L182" s="8"/>
      <c r="M182" s="8"/>
      <c r="N182" s="8"/>
      <c r="O182" s="8"/>
      <c r="P182" s="8"/>
      <c r="Q182" s="8"/>
      <c r="R182" s="8"/>
      <c r="S182" s="8"/>
      <c r="T182" s="8"/>
      <c r="U182" s="8"/>
      <c r="V182" s="8"/>
      <c r="W182" s="8"/>
      <c r="X182" s="8"/>
      <c r="Y182" s="8"/>
      <c r="Z182" s="8"/>
    </row>
    <row r="183" spans="1:26" ht="14.25" customHeight="1" x14ac:dyDescent="0.3">
      <c r="A183" s="8"/>
      <c r="B183" s="8"/>
      <c r="C183" s="8"/>
      <c r="D183" s="8"/>
      <c r="E183" s="8"/>
      <c r="F183" s="8"/>
      <c r="G183" s="8"/>
      <c r="H183" s="8"/>
      <c r="I183" s="89"/>
      <c r="J183" s="8"/>
      <c r="K183" s="8"/>
      <c r="L183" s="8"/>
      <c r="M183" s="8"/>
      <c r="N183" s="8"/>
      <c r="O183" s="8"/>
      <c r="P183" s="8"/>
      <c r="Q183" s="8"/>
      <c r="R183" s="8"/>
      <c r="S183" s="8"/>
      <c r="T183" s="8"/>
      <c r="U183" s="8"/>
      <c r="V183" s="8"/>
      <c r="W183" s="8"/>
      <c r="X183" s="8"/>
      <c r="Y183" s="8"/>
      <c r="Z183" s="8"/>
    </row>
    <row r="184" spans="1:26" ht="14.25" customHeight="1" x14ac:dyDescent="0.3">
      <c r="A184" s="8"/>
      <c r="B184" s="8"/>
      <c r="C184" s="8"/>
      <c r="D184" s="8"/>
      <c r="E184" s="8"/>
      <c r="F184" s="8"/>
      <c r="G184" s="8"/>
      <c r="H184" s="8"/>
      <c r="I184" s="89"/>
      <c r="J184" s="8"/>
      <c r="K184" s="8"/>
      <c r="L184" s="8"/>
      <c r="M184" s="8"/>
      <c r="N184" s="8"/>
      <c r="O184" s="8"/>
      <c r="P184" s="8"/>
      <c r="Q184" s="8"/>
      <c r="R184" s="8"/>
      <c r="S184" s="8"/>
      <c r="T184" s="8"/>
      <c r="U184" s="8"/>
      <c r="V184" s="8"/>
      <c r="W184" s="8"/>
      <c r="X184" s="8"/>
      <c r="Y184" s="8"/>
      <c r="Z184" s="8"/>
    </row>
    <row r="185" spans="1:26" ht="14.25" customHeight="1" x14ac:dyDescent="0.3">
      <c r="A185" s="8"/>
      <c r="B185" s="8"/>
      <c r="C185" s="8"/>
      <c r="D185" s="8"/>
      <c r="E185" s="8"/>
      <c r="F185" s="8"/>
      <c r="G185" s="8"/>
      <c r="H185" s="8"/>
      <c r="I185" s="89"/>
      <c r="J185" s="8"/>
      <c r="K185" s="8"/>
      <c r="L185" s="8"/>
      <c r="M185" s="8"/>
      <c r="N185" s="8"/>
      <c r="O185" s="8"/>
      <c r="P185" s="8"/>
      <c r="Q185" s="8"/>
      <c r="R185" s="8"/>
      <c r="S185" s="8"/>
      <c r="T185" s="8"/>
      <c r="U185" s="8"/>
      <c r="V185" s="8"/>
      <c r="W185" s="8"/>
      <c r="X185" s="8"/>
      <c r="Y185" s="8"/>
      <c r="Z185" s="8"/>
    </row>
    <row r="186" spans="1:26" ht="14.25" customHeight="1" x14ac:dyDescent="0.3">
      <c r="A186" s="8"/>
      <c r="B186" s="8"/>
      <c r="C186" s="8"/>
      <c r="D186" s="8"/>
      <c r="E186" s="8"/>
      <c r="F186" s="8"/>
      <c r="G186" s="8"/>
      <c r="H186" s="8"/>
      <c r="I186" s="89"/>
      <c r="J186" s="8"/>
      <c r="K186" s="8"/>
      <c r="L186" s="8"/>
      <c r="M186" s="8"/>
      <c r="N186" s="8"/>
      <c r="O186" s="8"/>
      <c r="P186" s="8"/>
      <c r="Q186" s="8"/>
      <c r="R186" s="8"/>
      <c r="S186" s="8"/>
      <c r="T186" s="8"/>
      <c r="U186" s="8"/>
      <c r="V186" s="8"/>
      <c r="W186" s="8"/>
      <c r="X186" s="8"/>
      <c r="Y186" s="8"/>
      <c r="Z186" s="8"/>
    </row>
    <row r="187" spans="1:26" ht="14.25" customHeight="1" x14ac:dyDescent="0.3">
      <c r="A187" s="8"/>
      <c r="B187" s="8"/>
      <c r="C187" s="8"/>
      <c r="D187" s="8"/>
      <c r="E187" s="8"/>
      <c r="F187" s="8"/>
      <c r="G187" s="8"/>
      <c r="H187" s="8"/>
      <c r="I187" s="89"/>
      <c r="J187" s="8"/>
      <c r="K187" s="8"/>
      <c r="L187" s="8"/>
      <c r="M187" s="8"/>
      <c r="N187" s="8"/>
      <c r="O187" s="8"/>
      <c r="P187" s="8"/>
      <c r="Q187" s="8"/>
      <c r="R187" s="8"/>
      <c r="S187" s="8"/>
      <c r="T187" s="8"/>
      <c r="U187" s="8"/>
      <c r="V187" s="8"/>
      <c r="W187" s="8"/>
      <c r="X187" s="8"/>
      <c r="Y187" s="8"/>
      <c r="Z187" s="8"/>
    </row>
    <row r="188" spans="1:26" ht="14.25" customHeight="1" x14ac:dyDescent="0.3">
      <c r="A188" s="8"/>
      <c r="B188" s="8"/>
      <c r="C188" s="8"/>
      <c r="D188" s="8"/>
      <c r="E188" s="8"/>
      <c r="F188" s="8"/>
      <c r="G188" s="8"/>
      <c r="H188" s="8"/>
      <c r="I188" s="89"/>
      <c r="J188" s="8"/>
      <c r="K188" s="8"/>
      <c r="L188" s="8"/>
      <c r="M188" s="8"/>
      <c r="N188" s="8"/>
      <c r="O188" s="8"/>
      <c r="P188" s="8"/>
      <c r="Q188" s="8"/>
      <c r="R188" s="8"/>
      <c r="S188" s="8"/>
      <c r="T188" s="8"/>
      <c r="U188" s="8"/>
      <c r="V188" s="8"/>
      <c r="W188" s="8"/>
      <c r="X188" s="8"/>
      <c r="Y188" s="8"/>
      <c r="Z188" s="8"/>
    </row>
    <row r="189" spans="1:26" ht="14.25" customHeight="1" x14ac:dyDescent="0.3">
      <c r="A189" s="8"/>
      <c r="B189" s="8"/>
      <c r="C189" s="8"/>
      <c r="D189" s="8"/>
      <c r="E189" s="8"/>
      <c r="F189" s="8"/>
      <c r="G189" s="8"/>
      <c r="H189" s="8"/>
      <c r="I189" s="89"/>
      <c r="J189" s="8"/>
      <c r="K189" s="8"/>
      <c r="L189" s="8"/>
      <c r="M189" s="8"/>
      <c r="N189" s="8"/>
      <c r="O189" s="8"/>
      <c r="P189" s="8"/>
      <c r="Q189" s="8"/>
      <c r="R189" s="8"/>
      <c r="S189" s="8"/>
      <c r="T189" s="8"/>
      <c r="U189" s="8"/>
      <c r="V189" s="8"/>
      <c r="W189" s="8"/>
      <c r="X189" s="8"/>
      <c r="Y189" s="8"/>
      <c r="Z189" s="8"/>
    </row>
    <row r="190" spans="1:26" ht="14.25" customHeight="1" x14ac:dyDescent="0.3">
      <c r="A190" s="8"/>
      <c r="B190" s="8"/>
      <c r="C190" s="8"/>
      <c r="D190" s="8"/>
      <c r="E190" s="8"/>
      <c r="F190" s="8"/>
      <c r="G190" s="8"/>
      <c r="H190" s="8"/>
      <c r="I190" s="89"/>
      <c r="J190" s="8"/>
      <c r="K190" s="8"/>
      <c r="L190" s="8"/>
      <c r="M190" s="8"/>
      <c r="N190" s="8"/>
      <c r="O190" s="8"/>
      <c r="P190" s="8"/>
      <c r="Q190" s="8"/>
      <c r="R190" s="8"/>
      <c r="S190" s="8"/>
      <c r="T190" s="8"/>
      <c r="U190" s="8"/>
      <c r="V190" s="8"/>
      <c r="W190" s="8"/>
      <c r="X190" s="8"/>
      <c r="Y190" s="8"/>
      <c r="Z190" s="8"/>
    </row>
    <row r="191" spans="1:26" ht="14.25" customHeight="1" x14ac:dyDescent="0.3">
      <c r="A191" s="8"/>
      <c r="B191" s="8"/>
      <c r="C191" s="8"/>
      <c r="D191" s="8"/>
      <c r="E191" s="8"/>
      <c r="F191" s="8"/>
      <c r="G191" s="8"/>
      <c r="H191" s="8"/>
      <c r="I191" s="89"/>
      <c r="J191" s="8"/>
      <c r="K191" s="8"/>
      <c r="L191" s="8"/>
      <c r="M191" s="8"/>
      <c r="N191" s="8"/>
      <c r="O191" s="8"/>
      <c r="P191" s="8"/>
      <c r="Q191" s="8"/>
      <c r="R191" s="8"/>
      <c r="S191" s="8"/>
      <c r="T191" s="8"/>
      <c r="U191" s="8"/>
      <c r="V191" s="8"/>
      <c r="W191" s="8"/>
      <c r="X191" s="8"/>
      <c r="Y191" s="8"/>
      <c r="Z191" s="8"/>
    </row>
    <row r="192" spans="1:26" ht="14.25" customHeight="1" x14ac:dyDescent="0.3">
      <c r="A192" s="8"/>
      <c r="B192" s="8"/>
      <c r="C192" s="8"/>
      <c r="D192" s="8"/>
      <c r="E192" s="8"/>
      <c r="F192" s="8"/>
      <c r="G192" s="8"/>
      <c r="H192" s="8"/>
      <c r="I192" s="89"/>
      <c r="J192" s="8"/>
      <c r="K192" s="8"/>
      <c r="L192" s="8"/>
      <c r="M192" s="8"/>
      <c r="N192" s="8"/>
      <c r="O192" s="8"/>
      <c r="P192" s="8"/>
      <c r="Q192" s="8"/>
      <c r="R192" s="8"/>
      <c r="S192" s="8"/>
      <c r="T192" s="8"/>
      <c r="U192" s="8"/>
      <c r="V192" s="8"/>
      <c r="W192" s="8"/>
      <c r="X192" s="8"/>
      <c r="Y192" s="8"/>
      <c r="Z192" s="8"/>
    </row>
    <row r="193" spans="1:26" ht="14.25" customHeight="1" x14ac:dyDescent="0.3">
      <c r="A193" s="8"/>
      <c r="B193" s="8"/>
      <c r="C193" s="8"/>
      <c r="D193" s="8"/>
      <c r="E193" s="8"/>
      <c r="F193" s="8"/>
      <c r="G193" s="8"/>
      <c r="H193" s="8"/>
      <c r="I193" s="89"/>
      <c r="J193" s="8"/>
      <c r="K193" s="8"/>
      <c r="L193" s="8"/>
      <c r="M193" s="8"/>
      <c r="N193" s="8"/>
      <c r="O193" s="8"/>
      <c r="P193" s="8"/>
      <c r="Q193" s="8"/>
      <c r="R193" s="8"/>
      <c r="S193" s="8"/>
      <c r="T193" s="8"/>
      <c r="U193" s="8"/>
      <c r="V193" s="8"/>
      <c r="W193" s="8"/>
      <c r="X193" s="8"/>
      <c r="Y193" s="8"/>
      <c r="Z193" s="8"/>
    </row>
    <row r="194" spans="1:26" ht="14.25" customHeight="1" x14ac:dyDescent="0.3">
      <c r="A194" s="8"/>
      <c r="B194" s="8"/>
      <c r="C194" s="8"/>
      <c r="D194" s="8"/>
      <c r="E194" s="8"/>
      <c r="F194" s="8"/>
      <c r="G194" s="8"/>
      <c r="H194" s="8"/>
      <c r="I194" s="89"/>
      <c r="J194" s="8"/>
      <c r="K194" s="8"/>
      <c r="L194" s="8"/>
      <c r="M194" s="8"/>
      <c r="N194" s="8"/>
      <c r="O194" s="8"/>
      <c r="P194" s="8"/>
      <c r="Q194" s="8"/>
      <c r="R194" s="8"/>
      <c r="S194" s="8"/>
      <c r="T194" s="8"/>
      <c r="U194" s="8"/>
      <c r="V194" s="8"/>
      <c r="W194" s="8"/>
      <c r="X194" s="8"/>
      <c r="Y194" s="8"/>
      <c r="Z194" s="8"/>
    </row>
    <row r="195" spans="1:26" ht="14.25" customHeight="1" x14ac:dyDescent="0.3">
      <c r="A195" s="8"/>
      <c r="B195" s="8"/>
      <c r="C195" s="8"/>
      <c r="D195" s="8"/>
      <c r="E195" s="8"/>
      <c r="F195" s="8"/>
      <c r="G195" s="8"/>
      <c r="H195" s="8"/>
      <c r="I195" s="89"/>
      <c r="J195" s="8"/>
      <c r="K195" s="8"/>
      <c r="L195" s="8"/>
      <c r="M195" s="8"/>
      <c r="N195" s="8"/>
      <c r="O195" s="8"/>
      <c r="P195" s="8"/>
      <c r="Q195" s="8"/>
      <c r="R195" s="8"/>
      <c r="S195" s="8"/>
      <c r="T195" s="8"/>
      <c r="U195" s="8"/>
      <c r="V195" s="8"/>
      <c r="W195" s="8"/>
      <c r="X195" s="8"/>
      <c r="Y195" s="8"/>
      <c r="Z195" s="8"/>
    </row>
    <row r="196" spans="1:26" ht="14.25" customHeight="1" x14ac:dyDescent="0.3">
      <c r="A196" s="8"/>
      <c r="B196" s="8"/>
      <c r="C196" s="8"/>
      <c r="D196" s="8"/>
      <c r="E196" s="8"/>
      <c r="F196" s="8"/>
      <c r="G196" s="8"/>
      <c r="H196" s="8"/>
      <c r="I196" s="89"/>
      <c r="J196" s="8"/>
      <c r="K196" s="8"/>
      <c r="L196" s="8"/>
      <c r="M196" s="8"/>
      <c r="N196" s="8"/>
      <c r="O196" s="8"/>
      <c r="P196" s="8"/>
      <c r="Q196" s="8"/>
      <c r="R196" s="8"/>
      <c r="S196" s="8"/>
      <c r="T196" s="8"/>
      <c r="U196" s="8"/>
      <c r="V196" s="8"/>
      <c r="W196" s="8"/>
      <c r="X196" s="8"/>
      <c r="Y196" s="8"/>
      <c r="Z196" s="8"/>
    </row>
    <row r="197" spans="1:26" ht="14.25" customHeight="1" x14ac:dyDescent="0.3">
      <c r="A197" s="8"/>
      <c r="B197" s="8"/>
      <c r="C197" s="8"/>
      <c r="D197" s="8"/>
      <c r="E197" s="8"/>
      <c r="F197" s="8"/>
      <c r="G197" s="8"/>
      <c r="H197" s="8"/>
      <c r="I197" s="89"/>
      <c r="J197" s="8"/>
      <c r="K197" s="8"/>
      <c r="L197" s="8"/>
      <c r="M197" s="8"/>
      <c r="N197" s="8"/>
      <c r="O197" s="8"/>
      <c r="P197" s="8"/>
      <c r="Q197" s="8"/>
      <c r="R197" s="8"/>
      <c r="S197" s="8"/>
      <c r="T197" s="8"/>
      <c r="U197" s="8"/>
      <c r="V197" s="8"/>
      <c r="W197" s="8"/>
      <c r="X197" s="8"/>
      <c r="Y197" s="8"/>
      <c r="Z197" s="8"/>
    </row>
    <row r="198" spans="1:26" ht="14.25" customHeight="1" x14ac:dyDescent="0.3">
      <c r="A198" s="8"/>
      <c r="B198" s="8"/>
      <c r="C198" s="8"/>
      <c r="D198" s="8"/>
      <c r="E198" s="8"/>
      <c r="F198" s="8"/>
      <c r="G198" s="8"/>
      <c r="H198" s="8"/>
      <c r="I198" s="89"/>
      <c r="J198" s="8"/>
      <c r="K198" s="8"/>
      <c r="L198" s="8"/>
      <c r="M198" s="8"/>
      <c r="N198" s="8"/>
      <c r="O198" s="8"/>
      <c r="P198" s="8"/>
      <c r="Q198" s="8"/>
      <c r="R198" s="8"/>
      <c r="S198" s="8"/>
      <c r="T198" s="8"/>
      <c r="U198" s="8"/>
      <c r="V198" s="8"/>
      <c r="W198" s="8"/>
      <c r="X198" s="8"/>
      <c r="Y198" s="8"/>
      <c r="Z198" s="8"/>
    </row>
    <row r="199" spans="1:26" ht="14.25" customHeight="1" x14ac:dyDescent="0.3">
      <c r="A199" s="8"/>
      <c r="B199" s="8"/>
      <c r="C199" s="8"/>
      <c r="D199" s="8"/>
      <c r="E199" s="8"/>
      <c r="F199" s="8"/>
      <c r="G199" s="8"/>
      <c r="H199" s="8"/>
      <c r="I199" s="89"/>
      <c r="J199" s="8"/>
      <c r="K199" s="8"/>
      <c r="L199" s="8"/>
      <c r="M199" s="8"/>
      <c r="N199" s="8"/>
      <c r="O199" s="8"/>
      <c r="P199" s="8"/>
      <c r="Q199" s="8"/>
      <c r="R199" s="8"/>
      <c r="S199" s="8"/>
      <c r="T199" s="8"/>
      <c r="U199" s="8"/>
      <c r="V199" s="8"/>
      <c r="W199" s="8"/>
      <c r="X199" s="8"/>
      <c r="Y199" s="8"/>
      <c r="Z199" s="8"/>
    </row>
    <row r="200" spans="1:26" ht="14.25" customHeight="1" x14ac:dyDescent="0.3">
      <c r="A200" s="8"/>
      <c r="B200" s="8"/>
      <c r="C200" s="8"/>
      <c r="D200" s="8"/>
      <c r="E200" s="8"/>
      <c r="F200" s="8"/>
      <c r="G200" s="8"/>
      <c r="H200" s="8"/>
      <c r="I200" s="89"/>
      <c r="J200" s="8"/>
      <c r="K200" s="8"/>
      <c r="L200" s="8"/>
      <c r="M200" s="8"/>
      <c r="N200" s="8"/>
      <c r="O200" s="8"/>
      <c r="P200" s="8"/>
      <c r="Q200" s="8"/>
      <c r="R200" s="8"/>
      <c r="S200" s="8"/>
      <c r="T200" s="8"/>
      <c r="U200" s="8"/>
      <c r="V200" s="8"/>
      <c r="W200" s="8"/>
      <c r="X200" s="8"/>
      <c r="Y200" s="8"/>
      <c r="Z200" s="8"/>
    </row>
    <row r="201" spans="1:26" ht="12.75" customHeight="1" x14ac:dyDescent="0.3">
      <c r="A201" s="8"/>
      <c r="B201" s="8"/>
      <c r="C201" s="8"/>
      <c r="D201" s="8"/>
      <c r="E201" s="8"/>
      <c r="F201" s="8"/>
      <c r="G201" s="8"/>
      <c r="H201" s="8"/>
      <c r="I201" s="89"/>
      <c r="J201" s="8"/>
      <c r="K201" s="8"/>
      <c r="L201" s="8"/>
      <c r="M201" s="8"/>
      <c r="N201" s="8"/>
      <c r="O201" s="8"/>
      <c r="P201" s="8"/>
      <c r="Q201" s="8"/>
      <c r="R201" s="8"/>
      <c r="S201" s="8"/>
      <c r="T201" s="8"/>
      <c r="U201" s="8"/>
      <c r="V201" s="8"/>
      <c r="W201" s="8"/>
      <c r="X201" s="8"/>
      <c r="Y201" s="8"/>
      <c r="Z201" s="8"/>
    </row>
    <row r="202" spans="1:26" ht="12.75" customHeight="1" x14ac:dyDescent="0.3">
      <c r="A202" s="8"/>
      <c r="B202" s="8"/>
      <c r="C202" s="8"/>
      <c r="D202" s="8"/>
      <c r="E202" s="8"/>
      <c r="F202" s="8"/>
      <c r="G202" s="8"/>
      <c r="H202" s="8"/>
      <c r="I202" s="89"/>
      <c r="J202" s="8"/>
      <c r="K202" s="8"/>
      <c r="L202" s="8"/>
      <c r="M202" s="8"/>
      <c r="N202" s="8"/>
      <c r="O202" s="8"/>
      <c r="P202" s="8"/>
      <c r="Q202" s="8"/>
      <c r="R202" s="8"/>
      <c r="S202" s="8"/>
      <c r="T202" s="8"/>
      <c r="U202" s="8"/>
      <c r="V202" s="8"/>
      <c r="W202" s="8"/>
      <c r="X202" s="8"/>
      <c r="Y202" s="8"/>
      <c r="Z202" s="8"/>
    </row>
    <row r="203" spans="1:26" ht="12.75" customHeight="1" x14ac:dyDescent="0.3">
      <c r="A203" s="8"/>
      <c r="B203" s="8"/>
      <c r="C203" s="8"/>
      <c r="D203" s="8"/>
      <c r="E203" s="8"/>
      <c r="F203" s="8"/>
      <c r="G203" s="8"/>
      <c r="H203" s="8"/>
      <c r="I203" s="89"/>
      <c r="J203" s="8"/>
      <c r="K203" s="8"/>
      <c r="L203" s="8"/>
      <c r="M203" s="8"/>
      <c r="N203" s="8"/>
      <c r="O203" s="8"/>
      <c r="P203" s="8"/>
      <c r="Q203" s="8"/>
      <c r="R203" s="8"/>
      <c r="S203" s="8"/>
      <c r="T203" s="8"/>
      <c r="U203" s="8"/>
      <c r="V203" s="8"/>
      <c r="W203" s="8"/>
      <c r="X203" s="8"/>
      <c r="Y203" s="8"/>
      <c r="Z203" s="8"/>
    </row>
    <row r="204" spans="1:26" ht="12.75" customHeight="1" x14ac:dyDescent="0.3">
      <c r="A204" s="8"/>
      <c r="B204" s="8"/>
      <c r="C204" s="8"/>
      <c r="D204" s="8"/>
      <c r="E204" s="8"/>
      <c r="F204" s="8"/>
      <c r="G204" s="8"/>
      <c r="H204" s="8"/>
      <c r="I204" s="89"/>
      <c r="J204" s="8"/>
      <c r="K204" s="8"/>
      <c r="L204" s="8"/>
      <c r="M204" s="8"/>
      <c r="N204" s="8"/>
      <c r="O204" s="8"/>
      <c r="P204" s="8"/>
      <c r="Q204" s="8"/>
      <c r="R204" s="8"/>
      <c r="S204" s="8"/>
      <c r="T204" s="8"/>
      <c r="U204" s="8"/>
      <c r="V204" s="8"/>
      <c r="W204" s="8"/>
      <c r="X204" s="8"/>
      <c r="Y204" s="8"/>
      <c r="Z204" s="8"/>
    </row>
    <row r="205" spans="1:26" ht="12.75" customHeight="1" x14ac:dyDescent="0.3">
      <c r="A205" s="8"/>
      <c r="B205" s="8"/>
      <c r="C205" s="8"/>
      <c r="D205" s="8"/>
      <c r="E205" s="8"/>
      <c r="F205" s="8"/>
      <c r="G205" s="8"/>
      <c r="H205" s="8"/>
      <c r="I205" s="89"/>
      <c r="J205" s="8"/>
      <c r="K205" s="8"/>
      <c r="L205" s="8"/>
      <c r="M205" s="8"/>
      <c r="N205" s="8"/>
      <c r="O205" s="8"/>
      <c r="P205" s="8"/>
      <c r="Q205" s="8"/>
      <c r="R205" s="8"/>
      <c r="S205" s="8"/>
      <c r="T205" s="8"/>
      <c r="U205" s="8"/>
      <c r="V205" s="8"/>
      <c r="W205" s="8"/>
      <c r="X205" s="8"/>
      <c r="Y205" s="8"/>
      <c r="Z205" s="8"/>
    </row>
    <row r="206" spans="1:26" ht="12.75" customHeight="1" x14ac:dyDescent="0.3">
      <c r="A206" s="8"/>
      <c r="B206" s="8"/>
      <c r="C206" s="8"/>
      <c r="D206" s="8"/>
      <c r="E206" s="8"/>
      <c r="F206" s="8"/>
      <c r="G206" s="8"/>
      <c r="H206" s="8"/>
      <c r="I206" s="89"/>
      <c r="J206" s="8"/>
      <c r="K206" s="8"/>
      <c r="L206" s="8"/>
      <c r="M206" s="8"/>
      <c r="N206" s="8"/>
      <c r="O206" s="8"/>
      <c r="P206" s="8"/>
      <c r="Q206" s="8"/>
      <c r="R206" s="8"/>
      <c r="S206" s="8"/>
      <c r="T206" s="8"/>
      <c r="U206" s="8"/>
      <c r="V206" s="8"/>
      <c r="W206" s="8"/>
      <c r="X206" s="8"/>
      <c r="Y206" s="8"/>
      <c r="Z206" s="8"/>
    </row>
    <row r="207" spans="1:26" ht="12.75" customHeight="1" x14ac:dyDescent="0.3">
      <c r="A207" s="8"/>
      <c r="B207" s="8"/>
      <c r="C207" s="8"/>
      <c r="D207" s="8"/>
      <c r="E207" s="8"/>
      <c r="F207" s="8"/>
      <c r="G207" s="8"/>
      <c r="H207" s="8"/>
      <c r="I207" s="89"/>
      <c r="J207" s="8"/>
      <c r="K207" s="8"/>
      <c r="L207" s="8"/>
      <c r="M207" s="8"/>
      <c r="N207" s="8"/>
      <c r="O207" s="8"/>
      <c r="P207" s="8"/>
      <c r="Q207" s="8"/>
      <c r="R207" s="8"/>
      <c r="S207" s="8"/>
      <c r="T207" s="8"/>
      <c r="U207" s="8"/>
      <c r="V207" s="8"/>
      <c r="W207" s="8"/>
      <c r="X207" s="8"/>
      <c r="Y207" s="8"/>
      <c r="Z207" s="8"/>
    </row>
    <row r="208" spans="1:26" ht="12.75" customHeight="1" x14ac:dyDescent="0.3">
      <c r="A208" s="8"/>
      <c r="B208" s="8"/>
      <c r="C208" s="8"/>
      <c r="D208" s="8"/>
      <c r="E208" s="8"/>
      <c r="F208" s="8"/>
      <c r="G208" s="8"/>
      <c r="H208" s="8"/>
      <c r="I208" s="89"/>
      <c r="J208" s="8"/>
      <c r="K208" s="8"/>
      <c r="L208" s="8"/>
      <c r="M208" s="8"/>
      <c r="N208" s="8"/>
      <c r="O208" s="8"/>
      <c r="P208" s="8"/>
      <c r="Q208" s="8"/>
      <c r="R208" s="8"/>
      <c r="S208" s="8"/>
      <c r="T208" s="8"/>
      <c r="U208" s="8"/>
      <c r="V208" s="8"/>
      <c r="W208" s="8"/>
      <c r="X208" s="8"/>
      <c r="Y208" s="8"/>
      <c r="Z208" s="8"/>
    </row>
    <row r="209" spans="1:26" ht="12.75" customHeight="1" x14ac:dyDescent="0.3">
      <c r="A209" s="8"/>
      <c r="B209" s="8"/>
      <c r="C209" s="8"/>
      <c r="D209" s="8"/>
      <c r="E209" s="8"/>
      <c r="F209" s="8"/>
      <c r="G209" s="8"/>
      <c r="H209" s="8"/>
      <c r="I209" s="89"/>
      <c r="J209" s="8"/>
      <c r="K209" s="8"/>
      <c r="L209" s="8"/>
      <c r="M209" s="8"/>
      <c r="N209" s="8"/>
      <c r="O209" s="8"/>
      <c r="P209" s="8"/>
      <c r="Q209" s="8"/>
      <c r="R209" s="8"/>
      <c r="S209" s="8"/>
      <c r="T209" s="8"/>
      <c r="U209" s="8"/>
      <c r="V209" s="8"/>
      <c r="W209" s="8"/>
      <c r="X209" s="8"/>
      <c r="Y209" s="8"/>
      <c r="Z209" s="8"/>
    </row>
    <row r="210" spans="1:26" ht="12.75" customHeight="1" x14ac:dyDescent="0.3">
      <c r="A210" s="8"/>
      <c r="B210" s="8"/>
      <c r="C210" s="8"/>
      <c r="D210" s="8"/>
      <c r="E210" s="8"/>
      <c r="F210" s="8"/>
      <c r="G210" s="8"/>
      <c r="H210" s="8"/>
      <c r="I210" s="89"/>
      <c r="J210" s="8"/>
      <c r="K210" s="8"/>
      <c r="L210" s="8"/>
      <c r="M210" s="8"/>
      <c r="N210" s="8"/>
      <c r="O210" s="8"/>
      <c r="P210" s="8"/>
      <c r="Q210" s="8"/>
      <c r="R210" s="8"/>
      <c r="S210" s="8"/>
      <c r="T210" s="8"/>
      <c r="U210" s="8"/>
      <c r="V210" s="8"/>
      <c r="W210" s="8"/>
      <c r="X210" s="8"/>
      <c r="Y210" s="8"/>
      <c r="Z210" s="8"/>
    </row>
    <row r="211" spans="1:26" ht="12.75" customHeight="1" x14ac:dyDescent="0.3">
      <c r="A211" s="8"/>
      <c r="B211" s="8"/>
      <c r="C211" s="8"/>
      <c r="D211" s="8"/>
      <c r="E211" s="8"/>
      <c r="F211" s="8"/>
      <c r="G211" s="8"/>
      <c r="H211" s="8"/>
      <c r="I211" s="89"/>
      <c r="J211" s="8"/>
      <c r="K211" s="8"/>
      <c r="L211" s="8"/>
      <c r="M211" s="8"/>
      <c r="N211" s="8"/>
      <c r="O211" s="8"/>
      <c r="P211" s="8"/>
      <c r="Q211" s="8"/>
      <c r="R211" s="8"/>
      <c r="S211" s="8"/>
      <c r="T211" s="8"/>
      <c r="U211" s="8"/>
      <c r="V211" s="8"/>
      <c r="W211" s="8"/>
      <c r="X211" s="8"/>
      <c r="Y211" s="8"/>
      <c r="Z211" s="8"/>
    </row>
    <row r="212" spans="1:26" ht="12.75" customHeight="1" x14ac:dyDescent="0.3">
      <c r="A212" s="8"/>
      <c r="B212" s="8"/>
      <c r="C212" s="8"/>
      <c r="D212" s="8"/>
      <c r="E212" s="8"/>
      <c r="F212" s="8"/>
      <c r="G212" s="8"/>
      <c r="H212" s="8"/>
      <c r="I212" s="89"/>
      <c r="J212" s="8"/>
      <c r="K212" s="8"/>
      <c r="L212" s="8"/>
      <c r="M212" s="8"/>
      <c r="N212" s="8"/>
      <c r="O212" s="8"/>
      <c r="P212" s="8"/>
      <c r="Q212" s="8"/>
      <c r="R212" s="8"/>
      <c r="S212" s="8"/>
      <c r="T212" s="8"/>
      <c r="U212" s="8"/>
      <c r="V212" s="8"/>
      <c r="W212" s="8"/>
      <c r="X212" s="8"/>
      <c r="Y212" s="8"/>
      <c r="Z212" s="8"/>
    </row>
    <row r="213" spans="1:26" ht="12.75" customHeight="1" x14ac:dyDescent="0.3">
      <c r="A213" s="8"/>
      <c r="B213" s="8"/>
      <c r="C213" s="8"/>
      <c r="D213" s="8"/>
      <c r="E213" s="8"/>
      <c r="F213" s="8"/>
      <c r="G213" s="8"/>
      <c r="H213" s="8"/>
      <c r="I213" s="89"/>
      <c r="J213" s="8"/>
      <c r="K213" s="8"/>
      <c r="L213" s="8"/>
      <c r="M213" s="8"/>
      <c r="N213" s="8"/>
      <c r="O213" s="8"/>
      <c r="P213" s="8"/>
      <c r="Q213" s="8"/>
      <c r="R213" s="8"/>
      <c r="S213" s="8"/>
      <c r="T213" s="8"/>
      <c r="U213" s="8"/>
      <c r="V213" s="8"/>
      <c r="W213" s="8"/>
      <c r="X213" s="8"/>
      <c r="Y213" s="8"/>
      <c r="Z213" s="8"/>
    </row>
    <row r="214" spans="1:26" ht="12.75" customHeight="1" x14ac:dyDescent="0.3">
      <c r="A214" s="8"/>
      <c r="B214" s="8"/>
      <c r="C214" s="8"/>
      <c r="D214" s="8"/>
      <c r="E214" s="8"/>
      <c r="F214" s="8"/>
      <c r="G214" s="8"/>
      <c r="H214" s="8"/>
      <c r="I214" s="89"/>
      <c r="J214" s="8"/>
      <c r="K214" s="8"/>
      <c r="L214" s="8"/>
      <c r="M214" s="8"/>
      <c r="N214" s="8"/>
      <c r="O214" s="8"/>
      <c r="P214" s="8"/>
      <c r="Q214" s="8"/>
      <c r="R214" s="8"/>
      <c r="S214" s="8"/>
      <c r="T214" s="8"/>
      <c r="U214" s="8"/>
      <c r="V214" s="8"/>
      <c r="W214" s="8"/>
      <c r="X214" s="8"/>
      <c r="Y214" s="8"/>
      <c r="Z214" s="8"/>
    </row>
    <row r="215" spans="1:26" ht="12.75" customHeight="1" x14ac:dyDescent="0.3">
      <c r="A215" s="8"/>
      <c r="B215" s="8"/>
      <c r="C215" s="8"/>
      <c r="D215" s="8"/>
      <c r="E215" s="8"/>
      <c r="F215" s="8"/>
      <c r="G215" s="8"/>
      <c r="H215" s="8"/>
      <c r="I215" s="89"/>
      <c r="J215" s="8"/>
      <c r="K215" s="8"/>
      <c r="L215" s="8"/>
      <c r="M215" s="8"/>
      <c r="N215" s="8"/>
      <c r="O215" s="8"/>
      <c r="P215" s="8"/>
      <c r="Q215" s="8"/>
      <c r="R215" s="8"/>
      <c r="S215" s="8"/>
      <c r="T215" s="8"/>
      <c r="U215" s="8"/>
      <c r="V215" s="8"/>
      <c r="W215" s="8"/>
      <c r="X215" s="8"/>
      <c r="Y215" s="8"/>
      <c r="Z215" s="8"/>
    </row>
    <row r="216" spans="1:26" ht="12.75" customHeight="1" x14ac:dyDescent="0.3">
      <c r="A216" s="8"/>
      <c r="B216" s="8"/>
      <c r="C216" s="8"/>
      <c r="D216" s="8"/>
      <c r="E216" s="8"/>
      <c r="F216" s="8"/>
      <c r="G216" s="8"/>
      <c r="H216" s="8"/>
      <c r="I216" s="89"/>
      <c r="J216" s="8"/>
      <c r="K216" s="8"/>
      <c r="L216" s="8"/>
      <c r="M216" s="8"/>
      <c r="N216" s="8"/>
      <c r="O216" s="8"/>
      <c r="P216" s="8"/>
      <c r="Q216" s="8"/>
      <c r="R216" s="8"/>
      <c r="S216" s="8"/>
      <c r="T216" s="8"/>
      <c r="U216" s="8"/>
      <c r="V216" s="8"/>
      <c r="W216" s="8"/>
      <c r="X216" s="8"/>
      <c r="Y216" s="8"/>
      <c r="Z216" s="8"/>
    </row>
    <row r="217" spans="1:26" ht="12.75" customHeight="1" x14ac:dyDescent="0.3">
      <c r="A217" s="8"/>
      <c r="B217" s="8"/>
      <c r="C217" s="8"/>
      <c r="D217" s="8"/>
      <c r="E217" s="8"/>
      <c r="F217" s="8"/>
      <c r="G217" s="8"/>
      <c r="H217" s="8"/>
      <c r="I217" s="89"/>
      <c r="J217" s="8"/>
      <c r="K217" s="8"/>
      <c r="L217" s="8"/>
      <c r="M217" s="8"/>
      <c r="N217" s="8"/>
      <c r="O217" s="8"/>
      <c r="P217" s="8"/>
      <c r="Q217" s="8"/>
      <c r="R217" s="8"/>
      <c r="S217" s="8"/>
      <c r="T217" s="8"/>
      <c r="U217" s="8"/>
      <c r="V217" s="8"/>
      <c r="W217" s="8"/>
      <c r="X217" s="8"/>
      <c r="Y217" s="8"/>
      <c r="Z217" s="8"/>
    </row>
    <row r="218" spans="1:26" ht="12.75" customHeight="1" x14ac:dyDescent="0.3">
      <c r="A218" s="8"/>
      <c r="B218" s="8"/>
      <c r="C218" s="8"/>
      <c r="D218" s="8"/>
      <c r="E218" s="8"/>
      <c r="F218" s="8"/>
      <c r="G218" s="8"/>
      <c r="H218" s="8"/>
      <c r="I218" s="89"/>
      <c r="J218" s="8"/>
      <c r="K218" s="8"/>
      <c r="L218" s="8"/>
      <c r="M218" s="8"/>
      <c r="N218" s="8"/>
      <c r="O218" s="8"/>
      <c r="P218" s="8"/>
      <c r="Q218" s="8"/>
      <c r="R218" s="8"/>
      <c r="S218" s="8"/>
      <c r="T218" s="8"/>
      <c r="U218" s="8"/>
      <c r="V218" s="8"/>
      <c r="W218" s="8"/>
      <c r="X218" s="8"/>
      <c r="Y218" s="8"/>
      <c r="Z218" s="8"/>
    </row>
    <row r="219" spans="1:26" ht="12.75" customHeight="1" x14ac:dyDescent="0.3">
      <c r="A219" s="8"/>
      <c r="B219" s="8"/>
      <c r="C219" s="8"/>
      <c r="D219" s="8"/>
      <c r="E219" s="8"/>
      <c r="F219" s="8"/>
      <c r="G219" s="8"/>
      <c r="H219" s="8"/>
      <c r="I219" s="89"/>
      <c r="J219" s="8"/>
      <c r="K219" s="8"/>
      <c r="L219" s="8"/>
      <c r="M219" s="8"/>
      <c r="N219" s="8"/>
      <c r="O219" s="8"/>
      <c r="P219" s="8"/>
      <c r="Q219" s="8"/>
      <c r="R219" s="8"/>
      <c r="S219" s="8"/>
      <c r="T219" s="8"/>
      <c r="U219" s="8"/>
      <c r="V219" s="8"/>
      <c r="W219" s="8"/>
      <c r="X219" s="8"/>
      <c r="Y219" s="8"/>
      <c r="Z219" s="8"/>
    </row>
    <row r="220" spans="1:26" ht="12.75" customHeight="1" x14ac:dyDescent="0.3">
      <c r="A220" s="8"/>
      <c r="B220" s="8"/>
      <c r="C220" s="8"/>
      <c r="D220" s="8"/>
      <c r="E220" s="8"/>
      <c r="F220" s="8"/>
      <c r="G220" s="8"/>
      <c r="H220" s="8"/>
      <c r="I220" s="89"/>
      <c r="J220" s="8"/>
      <c r="K220" s="8"/>
      <c r="L220" s="8"/>
      <c r="M220" s="8"/>
      <c r="N220" s="8"/>
      <c r="O220" s="8"/>
      <c r="P220" s="8"/>
      <c r="Q220" s="8"/>
      <c r="R220" s="8"/>
      <c r="S220" s="8"/>
      <c r="T220" s="8"/>
      <c r="U220" s="8"/>
      <c r="V220" s="8"/>
      <c r="W220" s="8"/>
      <c r="X220" s="8"/>
      <c r="Y220" s="8"/>
      <c r="Z220" s="8"/>
    </row>
    <row r="221" spans="1:26" ht="12.75" customHeight="1" x14ac:dyDescent="0.3">
      <c r="A221" s="8"/>
      <c r="B221" s="8"/>
      <c r="C221" s="8"/>
      <c r="D221" s="8"/>
      <c r="E221" s="8"/>
      <c r="F221" s="8"/>
      <c r="G221" s="8"/>
      <c r="H221" s="8"/>
      <c r="I221" s="89"/>
      <c r="J221" s="8"/>
      <c r="K221" s="8"/>
      <c r="L221" s="8"/>
      <c r="M221" s="8"/>
      <c r="N221" s="8"/>
      <c r="O221" s="8"/>
      <c r="P221" s="8"/>
      <c r="Q221" s="8"/>
      <c r="R221" s="8"/>
      <c r="S221" s="8"/>
      <c r="T221" s="8"/>
      <c r="U221" s="8"/>
      <c r="V221" s="8"/>
      <c r="W221" s="8"/>
      <c r="X221" s="8"/>
      <c r="Y221" s="8"/>
      <c r="Z221" s="8"/>
    </row>
    <row r="222" spans="1:26" ht="12.75" customHeight="1" x14ac:dyDescent="0.3">
      <c r="A222" s="8"/>
      <c r="B222" s="8"/>
      <c r="C222" s="8"/>
      <c r="D222" s="8"/>
      <c r="E222" s="8"/>
      <c r="F222" s="8"/>
      <c r="G222" s="8"/>
      <c r="H222" s="8"/>
      <c r="I222" s="89"/>
      <c r="J222" s="8"/>
      <c r="K222" s="8"/>
      <c r="L222" s="8"/>
      <c r="M222" s="8"/>
      <c r="N222" s="8"/>
      <c r="O222" s="8"/>
      <c r="P222" s="8"/>
      <c r="Q222" s="8"/>
      <c r="R222" s="8"/>
      <c r="S222" s="8"/>
      <c r="T222" s="8"/>
      <c r="U222" s="8"/>
      <c r="V222" s="8"/>
      <c r="W222" s="8"/>
      <c r="X222" s="8"/>
      <c r="Y222" s="8"/>
      <c r="Z222" s="8"/>
    </row>
    <row r="223" spans="1:26" ht="12.75" customHeight="1" x14ac:dyDescent="0.3">
      <c r="A223" s="8"/>
      <c r="B223" s="8"/>
      <c r="C223" s="8"/>
      <c r="D223" s="8"/>
      <c r="E223" s="8"/>
      <c r="F223" s="8"/>
      <c r="G223" s="8"/>
      <c r="H223" s="8"/>
      <c r="I223" s="89"/>
      <c r="J223" s="8"/>
      <c r="K223" s="8"/>
      <c r="L223" s="8"/>
      <c r="M223" s="8"/>
      <c r="N223" s="8"/>
      <c r="O223" s="8"/>
      <c r="P223" s="8"/>
      <c r="Q223" s="8"/>
      <c r="R223" s="8"/>
      <c r="S223" s="8"/>
      <c r="T223" s="8"/>
      <c r="U223" s="8"/>
      <c r="V223" s="8"/>
      <c r="W223" s="8"/>
      <c r="X223" s="8"/>
      <c r="Y223" s="8"/>
      <c r="Z223" s="8"/>
    </row>
    <row r="224" spans="1:26" ht="12.75" customHeight="1" x14ac:dyDescent="0.3">
      <c r="A224" s="8"/>
      <c r="B224" s="8"/>
      <c r="C224" s="8"/>
      <c r="D224" s="8"/>
      <c r="E224" s="8"/>
      <c r="F224" s="8"/>
      <c r="G224" s="8"/>
      <c r="H224" s="8"/>
      <c r="I224" s="89"/>
      <c r="J224" s="8"/>
      <c r="K224" s="8"/>
      <c r="L224" s="8"/>
      <c r="M224" s="8"/>
      <c r="N224" s="8"/>
      <c r="O224" s="8"/>
      <c r="P224" s="8"/>
      <c r="Q224" s="8"/>
      <c r="R224" s="8"/>
      <c r="S224" s="8"/>
      <c r="T224" s="8"/>
      <c r="U224" s="8"/>
      <c r="V224" s="8"/>
      <c r="W224" s="8"/>
      <c r="X224" s="8"/>
      <c r="Y224" s="8"/>
      <c r="Z224" s="8"/>
    </row>
    <row r="225" spans="1:26" ht="12.75" customHeight="1" x14ac:dyDescent="0.3">
      <c r="A225" s="8"/>
      <c r="B225" s="8"/>
      <c r="C225" s="8"/>
      <c r="D225" s="8"/>
      <c r="E225" s="8"/>
      <c r="F225" s="8"/>
      <c r="G225" s="8"/>
      <c r="H225" s="8"/>
      <c r="I225" s="89"/>
      <c r="J225" s="8"/>
      <c r="K225" s="8"/>
      <c r="L225" s="8"/>
      <c r="M225" s="8"/>
      <c r="N225" s="8"/>
      <c r="O225" s="8"/>
      <c r="P225" s="8"/>
      <c r="Q225" s="8"/>
      <c r="R225" s="8"/>
      <c r="S225" s="8"/>
      <c r="T225" s="8"/>
      <c r="U225" s="8"/>
      <c r="V225" s="8"/>
      <c r="W225" s="8"/>
      <c r="X225" s="8"/>
      <c r="Y225" s="8"/>
      <c r="Z225" s="8"/>
    </row>
    <row r="226" spans="1:26" ht="12.75" customHeight="1" x14ac:dyDescent="0.3">
      <c r="A226" s="8"/>
      <c r="B226" s="8"/>
      <c r="C226" s="8"/>
      <c r="D226" s="8"/>
      <c r="E226" s="8"/>
      <c r="F226" s="8"/>
      <c r="G226" s="8"/>
      <c r="H226" s="8"/>
      <c r="I226" s="89"/>
      <c r="J226" s="8"/>
      <c r="K226" s="8"/>
      <c r="L226" s="8"/>
      <c r="M226" s="8"/>
      <c r="N226" s="8"/>
      <c r="O226" s="8"/>
      <c r="P226" s="8"/>
      <c r="Q226" s="8"/>
      <c r="R226" s="8"/>
      <c r="S226" s="8"/>
      <c r="T226" s="8"/>
      <c r="U226" s="8"/>
      <c r="V226" s="8"/>
      <c r="W226" s="8"/>
      <c r="X226" s="8"/>
      <c r="Y226" s="8"/>
      <c r="Z226" s="8"/>
    </row>
    <row r="227" spans="1:26" ht="12.75" customHeight="1" x14ac:dyDescent="0.3">
      <c r="A227" s="8"/>
      <c r="B227" s="8"/>
      <c r="C227" s="8"/>
      <c r="D227" s="8"/>
      <c r="E227" s="8"/>
      <c r="F227" s="8"/>
      <c r="G227" s="8"/>
      <c r="H227" s="8"/>
      <c r="I227" s="89"/>
      <c r="J227" s="8"/>
      <c r="K227" s="8"/>
      <c r="L227" s="8"/>
      <c r="M227" s="8"/>
      <c r="N227" s="8"/>
      <c r="O227" s="8"/>
      <c r="P227" s="8"/>
      <c r="Q227" s="8"/>
      <c r="R227" s="8"/>
      <c r="S227" s="8"/>
      <c r="T227" s="8"/>
      <c r="U227" s="8"/>
      <c r="V227" s="8"/>
      <c r="W227" s="8"/>
      <c r="X227" s="8"/>
      <c r="Y227" s="8"/>
      <c r="Z227" s="8"/>
    </row>
    <row r="228" spans="1:26" ht="12.75" customHeight="1" x14ac:dyDescent="0.3">
      <c r="A228" s="8"/>
      <c r="B228" s="8"/>
      <c r="C228" s="8"/>
      <c r="D228" s="8"/>
      <c r="E228" s="8"/>
      <c r="F228" s="8"/>
      <c r="G228" s="8"/>
      <c r="H228" s="8"/>
      <c r="I228" s="89"/>
      <c r="J228" s="8"/>
      <c r="K228" s="8"/>
      <c r="L228" s="8"/>
      <c r="M228" s="8"/>
      <c r="N228" s="8"/>
      <c r="O228" s="8"/>
      <c r="P228" s="8"/>
      <c r="Q228" s="8"/>
      <c r="R228" s="8"/>
      <c r="S228" s="8"/>
      <c r="T228" s="8"/>
      <c r="U228" s="8"/>
      <c r="V228" s="8"/>
      <c r="W228" s="8"/>
      <c r="X228" s="8"/>
      <c r="Y228" s="8"/>
      <c r="Z228" s="8"/>
    </row>
    <row r="229" spans="1:26" ht="12.75" customHeight="1" x14ac:dyDescent="0.3">
      <c r="A229" s="8"/>
      <c r="B229" s="8"/>
      <c r="C229" s="8"/>
      <c r="D229" s="8"/>
      <c r="E229" s="8"/>
      <c r="F229" s="8"/>
      <c r="G229" s="8"/>
      <c r="H229" s="8"/>
      <c r="I229" s="89"/>
      <c r="J229" s="8"/>
      <c r="K229" s="8"/>
      <c r="L229" s="8"/>
      <c r="M229" s="8"/>
      <c r="N229" s="8"/>
      <c r="O229" s="8"/>
      <c r="P229" s="8"/>
      <c r="Q229" s="8"/>
      <c r="R229" s="8"/>
      <c r="S229" s="8"/>
      <c r="T229" s="8"/>
      <c r="U229" s="8"/>
      <c r="V229" s="8"/>
      <c r="W229" s="8"/>
      <c r="X229" s="8"/>
      <c r="Y229" s="8"/>
      <c r="Z229" s="8"/>
    </row>
    <row r="230" spans="1:26" ht="12.75" customHeight="1" x14ac:dyDescent="0.3">
      <c r="A230" s="8"/>
      <c r="B230" s="8"/>
      <c r="C230" s="8"/>
      <c r="D230" s="8"/>
      <c r="E230" s="8"/>
      <c r="F230" s="8"/>
      <c r="G230" s="8"/>
      <c r="H230" s="8"/>
      <c r="I230" s="89"/>
      <c r="J230" s="8"/>
      <c r="K230" s="8"/>
      <c r="L230" s="8"/>
      <c r="M230" s="8"/>
      <c r="N230" s="8"/>
      <c r="O230" s="8"/>
      <c r="P230" s="8"/>
      <c r="Q230" s="8"/>
      <c r="R230" s="8"/>
      <c r="S230" s="8"/>
      <c r="T230" s="8"/>
      <c r="U230" s="8"/>
      <c r="V230" s="8"/>
      <c r="W230" s="8"/>
      <c r="X230" s="8"/>
      <c r="Y230" s="8"/>
      <c r="Z230" s="8"/>
    </row>
    <row r="231" spans="1:26" ht="12.75" customHeight="1" x14ac:dyDescent="0.3">
      <c r="A231" s="8"/>
      <c r="B231" s="8"/>
      <c r="C231" s="8"/>
      <c r="D231" s="8"/>
      <c r="E231" s="8"/>
      <c r="F231" s="8"/>
      <c r="G231" s="8"/>
      <c r="H231" s="8"/>
      <c r="I231" s="89"/>
      <c r="J231" s="8"/>
      <c r="K231" s="8"/>
      <c r="L231" s="8"/>
      <c r="M231" s="8"/>
      <c r="N231" s="8"/>
      <c r="O231" s="8"/>
      <c r="P231" s="8"/>
      <c r="Q231" s="8"/>
      <c r="R231" s="8"/>
      <c r="S231" s="8"/>
      <c r="T231" s="8"/>
      <c r="U231" s="8"/>
      <c r="V231" s="8"/>
      <c r="W231" s="8"/>
      <c r="X231" s="8"/>
      <c r="Y231" s="8"/>
      <c r="Z231" s="8"/>
    </row>
    <row r="232" spans="1:26" ht="12.75" customHeight="1" x14ac:dyDescent="0.3">
      <c r="A232" s="8"/>
      <c r="B232" s="8"/>
      <c r="C232" s="8"/>
      <c r="D232" s="8"/>
      <c r="E232" s="8"/>
      <c r="F232" s="8"/>
      <c r="G232" s="8"/>
      <c r="H232" s="8"/>
      <c r="I232" s="89"/>
      <c r="J232" s="8"/>
      <c r="K232" s="8"/>
      <c r="L232" s="8"/>
      <c r="M232" s="8"/>
      <c r="N232" s="8"/>
      <c r="O232" s="8"/>
      <c r="P232" s="8"/>
      <c r="Q232" s="8"/>
      <c r="R232" s="8"/>
      <c r="S232" s="8"/>
      <c r="T232" s="8"/>
      <c r="U232" s="8"/>
      <c r="V232" s="8"/>
      <c r="W232" s="8"/>
      <c r="X232" s="8"/>
      <c r="Y232" s="8"/>
      <c r="Z232" s="8"/>
    </row>
    <row r="233" spans="1:26" ht="12.75" customHeight="1" x14ac:dyDescent="0.3">
      <c r="A233" s="8"/>
      <c r="B233" s="8"/>
      <c r="C233" s="8"/>
      <c r="D233" s="8"/>
      <c r="E233" s="8"/>
      <c r="F233" s="8"/>
      <c r="G233" s="8"/>
      <c r="H233" s="8"/>
      <c r="I233" s="89"/>
      <c r="J233" s="8"/>
      <c r="K233" s="8"/>
      <c r="L233" s="8"/>
      <c r="M233" s="8"/>
      <c r="N233" s="8"/>
      <c r="O233" s="8"/>
      <c r="P233" s="8"/>
      <c r="Q233" s="8"/>
      <c r="R233" s="8"/>
      <c r="S233" s="8"/>
      <c r="T233" s="8"/>
      <c r="U233" s="8"/>
      <c r="V233" s="8"/>
      <c r="W233" s="8"/>
      <c r="X233" s="8"/>
      <c r="Y233" s="8"/>
      <c r="Z233" s="8"/>
    </row>
    <row r="234" spans="1:26" ht="12.75" customHeight="1" x14ac:dyDescent="0.3">
      <c r="A234" s="8"/>
      <c r="B234" s="8"/>
      <c r="C234" s="8"/>
      <c r="D234" s="8"/>
      <c r="E234" s="8"/>
      <c r="F234" s="8"/>
      <c r="G234" s="8"/>
      <c r="H234" s="8"/>
      <c r="I234" s="89"/>
      <c r="J234" s="8"/>
      <c r="K234" s="8"/>
      <c r="L234" s="8"/>
      <c r="M234" s="8"/>
      <c r="N234" s="8"/>
      <c r="O234" s="8"/>
      <c r="P234" s="8"/>
      <c r="Q234" s="8"/>
      <c r="R234" s="8"/>
      <c r="S234" s="8"/>
      <c r="T234" s="8"/>
      <c r="U234" s="8"/>
      <c r="V234" s="8"/>
      <c r="W234" s="8"/>
      <c r="X234" s="8"/>
      <c r="Y234" s="8"/>
      <c r="Z234" s="8"/>
    </row>
    <row r="235" spans="1:26" ht="12.75" customHeight="1" x14ac:dyDescent="0.3">
      <c r="A235" s="8"/>
      <c r="B235" s="8"/>
      <c r="C235" s="8"/>
      <c r="D235" s="8"/>
      <c r="E235" s="8"/>
      <c r="F235" s="8"/>
      <c r="G235" s="8"/>
      <c r="H235" s="8"/>
      <c r="I235" s="89"/>
      <c r="J235" s="8"/>
      <c r="K235" s="8"/>
      <c r="L235" s="8"/>
      <c r="M235" s="8"/>
      <c r="N235" s="8"/>
      <c r="O235" s="8"/>
      <c r="P235" s="8"/>
      <c r="Q235" s="8"/>
      <c r="R235" s="8"/>
      <c r="S235" s="8"/>
      <c r="T235" s="8"/>
      <c r="U235" s="8"/>
      <c r="V235" s="8"/>
      <c r="W235" s="8"/>
      <c r="X235" s="8"/>
      <c r="Y235" s="8"/>
      <c r="Z235" s="8"/>
    </row>
    <row r="236" spans="1:26" ht="12.75" customHeight="1" x14ac:dyDescent="0.3">
      <c r="A236" s="8"/>
      <c r="B236" s="8"/>
      <c r="C236" s="8"/>
      <c r="D236" s="8"/>
      <c r="E236" s="8"/>
      <c r="F236" s="8"/>
      <c r="G236" s="8"/>
      <c r="H236" s="8"/>
      <c r="I236" s="89"/>
      <c r="J236" s="8"/>
      <c r="K236" s="8"/>
      <c r="L236" s="8"/>
      <c r="M236" s="8"/>
      <c r="N236" s="8"/>
      <c r="O236" s="8"/>
      <c r="P236" s="8"/>
      <c r="Q236" s="8"/>
      <c r="R236" s="8"/>
      <c r="S236" s="8"/>
      <c r="T236" s="8"/>
      <c r="U236" s="8"/>
      <c r="V236" s="8"/>
      <c r="W236" s="8"/>
      <c r="X236" s="8"/>
      <c r="Y236" s="8"/>
      <c r="Z236" s="8"/>
    </row>
    <row r="237" spans="1:26" ht="12.75" customHeight="1" x14ac:dyDescent="0.3">
      <c r="A237" s="8"/>
      <c r="B237" s="8"/>
      <c r="C237" s="8"/>
      <c r="D237" s="8"/>
      <c r="E237" s="8"/>
      <c r="F237" s="8"/>
      <c r="G237" s="8"/>
      <c r="H237" s="8"/>
      <c r="I237" s="89"/>
      <c r="J237" s="8"/>
      <c r="K237" s="8"/>
      <c r="L237" s="8"/>
      <c r="M237" s="8"/>
      <c r="N237" s="8"/>
      <c r="O237" s="8"/>
      <c r="P237" s="8"/>
      <c r="Q237" s="8"/>
      <c r="R237" s="8"/>
      <c r="S237" s="8"/>
      <c r="T237" s="8"/>
      <c r="U237" s="8"/>
      <c r="V237" s="8"/>
      <c r="W237" s="8"/>
      <c r="X237" s="8"/>
      <c r="Y237" s="8"/>
      <c r="Z237" s="8"/>
    </row>
    <row r="238" spans="1:26" ht="12.75" customHeight="1" x14ac:dyDescent="0.3">
      <c r="A238" s="8"/>
      <c r="B238" s="8"/>
      <c r="C238" s="8"/>
      <c r="D238" s="8"/>
      <c r="E238" s="8"/>
      <c r="F238" s="8"/>
      <c r="G238" s="8"/>
      <c r="H238" s="8"/>
      <c r="I238" s="89"/>
      <c r="J238" s="8"/>
      <c r="K238" s="8"/>
      <c r="L238" s="8"/>
      <c r="M238" s="8"/>
      <c r="N238" s="8"/>
      <c r="O238" s="8"/>
      <c r="P238" s="8"/>
      <c r="Q238" s="8"/>
      <c r="R238" s="8"/>
      <c r="S238" s="8"/>
      <c r="T238" s="8"/>
      <c r="U238" s="8"/>
      <c r="V238" s="8"/>
      <c r="W238" s="8"/>
      <c r="X238" s="8"/>
      <c r="Y238" s="8"/>
      <c r="Z238" s="8"/>
    </row>
    <row r="239" spans="1:26" ht="12.75" customHeight="1" x14ac:dyDescent="0.3">
      <c r="A239" s="8"/>
      <c r="B239" s="8"/>
      <c r="C239" s="8"/>
      <c r="D239" s="8"/>
      <c r="E239" s="8"/>
      <c r="F239" s="8"/>
      <c r="G239" s="8"/>
      <c r="H239" s="8"/>
      <c r="I239" s="89"/>
      <c r="J239" s="8"/>
      <c r="K239" s="8"/>
      <c r="L239" s="8"/>
      <c r="M239" s="8"/>
      <c r="N239" s="8"/>
      <c r="O239" s="8"/>
      <c r="P239" s="8"/>
      <c r="Q239" s="8"/>
      <c r="R239" s="8"/>
      <c r="S239" s="8"/>
      <c r="T239" s="8"/>
      <c r="U239" s="8"/>
      <c r="V239" s="8"/>
      <c r="W239" s="8"/>
      <c r="X239" s="8"/>
      <c r="Y239" s="8"/>
      <c r="Z239" s="8"/>
    </row>
    <row r="240" spans="1:26" ht="12.75" customHeight="1" x14ac:dyDescent="0.3">
      <c r="A240" s="8"/>
      <c r="B240" s="8"/>
      <c r="C240" s="8"/>
      <c r="D240" s="8"/>
      <c r="E240" s="8"/>
      <c r="F240" s="8"/>
      <c r="G240" s="8"/>
      <c r="H240" s="8"/>
      <c r="I240" s="89"/>
      <c r="J240" s="8"/>
      <c r="K240" s="8"/>
      <c r="L240" s="8"/>
      <c r="M240" s="8"/>
      <c r="N240" s="8"/>
      <c r="O240" s="8"/>
      <c r="P240" s="8"/>
      <c r="Q240" s="8"/>
      <c r="R240" s="8"/>
      <c r="S240" s="8"/>
      <c r="T240" s="8"/>
      <c r="U240" s="8"/>
      <c r="V240" s="8"/>
      <c r="W240" s="8"/>
      <c r="X240" s="8"/>
      <c r="Y240" s="8"/>
      <c r="Z240" s="8"/>
    </row>
    <row r="241" spans="1:26" ht="12.75" customHeight="1" x14ac:dyDescent="0.3">
      <c r="A241" s="8"/>
      <c r="B241" s="8"/>
      <c r="C241" s="8"/>
      <c r="D241" s="8"/>
      <c r="E241" s="8"/>
      <c r="F241" s="8"/>
      <c r="G241" s="8"/>
      <c r="H241" s="8"/>
      <c r="I241" s="89"/>
      <c r="J241" s="8"/>
      <c r="K241" s="8"/>
      <c r="L241" s="8"/>
      <c r="M241" s="8"/>
      <c r="N241" s="8"/>
      <c r="O241" s="8"/>
      <c r="P241" s="8"/>
      <c r="Q241" s="8"/>
      <c r="R241" s="8"/>
      <c r="S241" s="8"/>
      <c r="T241" s="8"/>
      <c r="U241" s="8"/>
      <c r="V241" s="8"/>
      <c r="W241" s="8"/>
      <c r="X241" s="8"/>
      <c r="Y241" s="8"/>
      <c r="Z241" s="8"/>
    </row>
    <row r="242" spans="1:26" ht="12.75" customHeight="1" x14ac:dyDescent="0.3">
      <c r="A242" s="8"/>
      <c r="B242" s="8"/>
      <c r="C242" s="8"/>
      <c r="D242" s="8"/>
      <c r="E242" s="8"/>
      <c r="F242" s="8"/>
      <c r="G242" s="8"/>
      <c r="H242" s="8"/>
      <c r="I242" s="89"/>
      <c r="J242" s="8"/>
      <c r="K242" s="8"/>
      <c r="L242" s="8"/>
      <c r="M242" s="8"/>
      <c r="N242" s="8"/>
      <c r="O242" s="8"/>
      <c r="P242" s="8"/>
      <c r="Q242" s="8"/>
      <c r="R242" s="8"/>
      <c r="S242" s="8"/>
      <c r="T242" s="8"/>
      <c r="U242" s="8"/>
      <c r="V242" s="8"/>
      <c r="W242" s="8"/>
      <c r="X242" s="8"/>
      <c r="Y242" s="8"/>
      <c r="Z242" s="8"/>
    </row>
    <row r="243" spans="1:26" ht="12.75" customHeight="1" x14ac:dyDescent="0.3">
      <c r="A243" s="8"/>
      <c r="B243" s="8"/>
      <c r="C243" s="8"/>
      <c r="D243" s="8"/>
      <c r="E243" s="8"/>
      <c r="F243" s="8"/>
      <c r="G243" s="8"/>
      <c r="H243" s="8"/>
      <c r="I243" s="89"/>
      <c r="J243" s="8"/>
      <c r="K243" s="8"/>
      <c r="L243" s="8"/>
      <c r="M243" s="8"/>
      <c r="N243" s="8"/>
      <c r="O243" s="8"/>
      <c r="P243" s="8"/>
      <c r="Q243" s="8"/>
      <c r="R243" s="8"/>
      <c r="S243" s="8"/>
      <c r="T243" s="8"/>
      <c r="U243" s="8"/>
      <c r="V243" s="8"/>
      <c r="W243" s="8"/>
      <c r="X243" s="8"/>
      <c r="Y243" s="8"/>
      <c r="Z243" s="8"/>
    </row>
    <row r="244" spans="1:26" ht="12.75" customHeight="1" x14ac:dyDescent="0.3">
      <c r="A244" s="8"/>
      <c r="B244" s="8"/>
      <c r="C244" s="8"/>
      <c r="D244" s="8"/>
      <c r="E244" s="8"/>
      <c r="F244" s="8"/>
      <c r="G244" s="8"/>
      <c r="H244" s="8"/>
      <c r="I244" s="89"/>
      <c r="J244" s="8"/>
      <c r="K244" s="8"/>
      <c r="L244" s="8"/>
      <c r="M244" s="8"/>
      <c r="N244" s="8"/>
      <c r="O244" s="8"/>
      <c r="P244" s="8"/>
      <c r="Q244" s="8"/>
      <c r="R244" s="8"/>
      <c r="S244" s="8"/>
      <c r="T244" s="8"/>
      <c r="U244" s="8"/>
      <c r="V244" s="8"/>
      <c r="W244" s="8"/>
      <c r="X244" s="8"/>
      <c r="Y244" s="8"/>
      <c r="Z244" s="8"/>
    </row>
    <row r="245" spans="1:26" ht="12.75" customHeight="1" x14ac:dyDescent="0.3">
      <c r="A245" s="8"/>
      <c r="B245" s="8"/>
      <c r="C245" s="8"/>
      <c r="D245" s="8"/>
      <c r="E245" s="8"/>
      <c r="F245" s="8"/>
      <c r="G245" s="8"/>
      <c r="H245" s="8"/>
      <c r="I245" s="89"/>
      <c r="J245" s="8"/>
      <c r="K245" s="8"/>
      <c r="L245" s="8"/>
      <c r="M245" s="8"/>
      <c r="N245" s="8"/>
      <c r="O245" s="8"/>
      <c r="P245" s="8"/>
      <c r="Q245" s="8"/>
      <c r="R245" s="8"/>
      <c r="S245" s="8"/>
      <c r="T245" s="8"/>
      <c r="U245" s="8"/>
      <c r="V245" s="8"/>
      <c r="W245" s="8"/>
      <c r="X245" s="8"/>
      <c r="Y245" s="8"/>
      <c r="Z245" s="8"/>
    </row>
    <row r="246" spans="1:26" ht="12.75" customHeight="1" x14ac:dyDescent="0.3">
      <c r="A246" s="8"/>
      <c r="B246" s="8"/>
      <c r="C246" s="8"/>
      <c r="D246" s="8"/>
      <c r="E246" s="8"/>
      <c r="F246" s="8"/>
      <c r="G246" s="8"/>
      <c r="H246" s="8"/>
      <c r="I246" s="89"/>
      <c r="J246" s="8"/>
      <c r="K246" s="8"/>
      <c r="L246" s="8"/>
      <c r="M246" s="8"/>
      <c r="N246" s="8"/>
      <c r="O246" s="8"/>
      <c r="P246" s="8"/>
      <c r="Q246" s="8"/>
      <c r="R246" s="8"/>
      <c r="S246" s="8"/>
      <c r="T246" s="8"/>
      <c r="U246" s="8"/>
      <c r="V246" s="8"/>
      <c r="W246" s="8"/>
      <c r="X246" s="8"/>
      <c r="Y246" s="8"/>
      <c r="Z246" s="8"/>
    </row>
    <row r="247" spans="1:26" ht="12.75" customHeight="1" x14ac:dyDescent="0.3">
      <c r="A247" s="8"/>
      <c r="B247" s="8"/>
      <c r="C247" s="8"/>
      <c r="D247" s="8"/>
      <c r="E247" s="8"/>
      <c r="F247" s="8"/>
      <c r="G247" s="8"/>
      <c r="H247" s="8"/>
      <c r="I247" s="89"/>
      <c r="J247" s="8"/>
      <c r="K247" s="8"/>
      <c r="L247" s="8"/>
      <c r="M247" s="8"/>
      <c r="N247" s="8"/>
      <c r="O247" s="8"/>
      <c r="P247" s="8"/>
      <c r="Q247" s="8"/>
      <c r="R247" s="8"/>
      <c r="S247" s="8"/>
      <c r="T247" s="8"/>
      <c r="U247" s="8"/>
      <c r="V247" s="8"/>
      <c r="W247" s="8"/>
      <c r="X247" s="8"/>
      <c r="Y247" s="8"/>
      <c r="Z247" s="8"/>
    </row>
    <row r="248" spans="1:26" ht="12.75" customHeight="1" x14ac:dyDescent="0.3">
      <c r="A248" s="8"/>
      <c r="B248" s="8"/>
      <c r="C248" s="8"/>
      <c r="D248" s="8"/>
      <c r="E248" s="8"/>
      <c r="F248" s="8"/>
      <c r="G248" s="8"/>
      <c r="H248" s="8"/>
      <c r="I248" s="89"/>
      <c r="J248" s="8"/>
      <c r="K248" s="8"/>
      <c r="L248" s="8"/>
      <c r="M248" s="8"/>
      <c r="N248" s="8"/>
      <c r="O248" s="8"/>
      <c r="P248" s="8"/>
      <c r="Q248" s="8"/>
      <c r="R248" s="8"/>
      <c r="S248" s="8"/>
      <c r="T248" s="8"/>
      <c r="U248" s="8"/>
      <c r="V248" s="8"/>
      <c r="W248" s="8"/>
      <c r="X248" s="8"/>
      <c r="Y248" s="8"/>
      <c r="Z248" s="8"/>
    </row>
    <row r="249" spans="1:26" ht="12.75" customHeight="1" x14ac:dyDescent="0.3">
      <c r="A249" s="8"/>
      <c r="B249" s="8"/>
      <c r="C249" s="8"/>
      <c r="D249" s="8"/>
      <c r="E249" s="8"/>
      <c r="F249" s="8"/>
      <c r="G249" s="8"/>
      <c r="H249" s="8"/>
      <c r="I249" s="89"/>
      <c r="J249" s="8"/>
      <c r="K249" s="8"/>
      <c r="L249" s="8"/>
      <c r="M249" s="8"/>
      <c r="N249" s="8"/>
      <c r="O249" s="8"/>
      <c r="P249" s="8"/>
      <c r="Q249" s="8"/>
      <c r="R249" s="8"/>
      <c r="S249" s="8"/>
      <c r="T249" s="8"/>
      <c r="U249" s="8"/>
      <c r="V249" s="8"/>
      <c r="W249" s="8"/>
      <c r="X249" s="8"/>
      <c r="Y249" s="8"/>
      <c r="Z249" s="8"/>
    </row>
    <row r="250" spans="1:26" ht="12.75" customHeight="1" x14ac:dyDescent="0.3">
      <c r="A250" s="8"/>
      <c r="B250" s="8"/>
      <c r="C250" s="8"/>
      <c r="D250" s="8"/>
      <c r="E250" s="8"/>
      <c r="F250" s="8"/>
      <c r="G250" s="8"/>
      <c r="H250" s="8"/>
      <c r="I250" s="89"/>
      <c r="J250" s="8"/>
      <c r="K250" s="8"/>
      <c r="L250" s="8"/>
      <c r="M250" s="8"/>
      <c r="N250" s="8"/>
      <c r="O250" s="8"/>
      <c r="P250" s="8"/>
      <c r="Q250" s="8"/>
      <c r="R250" s="8"/>
      <c r="S250" s="8"/>
      <c r="T250" s="8"/>
      <c r="U250" s="8"/>
      <c r="V250" s="8"/>
      <c r="W250" s="8"/>
      <c r="X250" s="8"/>
      <c r="Y250" s="8"/>
      <c r="Z250" s="8"/>
    </row>
    <row r="251" spans="1:26" ht="12.75" customHeight="1" x14ac:dyDescent="0.3">
      <c r="A251" s="8"/>
      <c r="B251" s="8"/>
      <c r="C251" s="8"/>
      <c r="D251" s="8"/>
      <c r="E251" s="8"/>
      <c r="F251" s="8"/>
      <c r="G251" s="8"/>
      <c r="H251" s="8"/>
      <c r="I251" s="89"/>
      <c r="J251" s="8"/>
      <c r="K251" s="8"/>
      <c r="L251" s="8"/>
      <c r="M251" s="8"/>
      <c r="N251" s="8"/>
      <c r="O251" s="8"/>
      <c r="P251" s="8"/>
      <c r="Q251" s="8"/>
      <c r="R251" s="8"/>
      <c r="S251" s="8"/>
      <c r="T251" s="8"/>
      <c r="U251" s="8"/>
      <c r="V251" s="8"/>
      <c r="W251" s="8"/>
      <c r="X251" s="8"/>
      <c r="Y251" s="8"/>
      <c r="Z251" s="8"/>
    </row>
    <row r="252" spans="1:26" ht="12.75" customHeight="1" x14ac:dyDescent="0.3">
      <c r="A252" s="8"/>
      <c r="B252" s="8"/>
      <c r="C252" s="8"/>
      <c r="D252" s="8"/>
      <c r="E252" s="8"/>
      <c r="F252" s="8"/>
      <c r="G252" s="8"/>
      <c r="H252" s="8"/>
      <c r="I252" s="89"/>
      <c r="J252" s="8"/>
      <c r="K252" s="8"/>
      <c r="L252" s="8"/>
      <c r="M252" s="8"/>
      <c r="N252" s="8"/>
      <c r="O252" s="8"/>
      <c r="P252" s="8"/>
      <c r="Q252" s="8"/>
      <c r="R252" s="8"/>
      <c r="S252" s="8"/>
      <c r="T252" s="8"/>
      <c r="U252" s="8"/>
      <c r="V252" s="8"/>
      <c r="W252" s="8"/>
      <c r="X252" s="8"/>
      <c r="Y252" s="8"/>
      <c r="Z252" s="8"/>
    </row>
    <row r="253" spans="1:26" ht="12.75" customHeight="1" x14ac:dyDescent="0.3">
      <c r="A253" s="8"/>
      <c r="B253" s="8"/>
      <c r="C253" s="8"/>
      <c r="D253" s="8"/>
      <c r="E253" s="8"/>
      <c r="F253" s="8"/>
      <c r="G253" s="8"/>
      <c r="H253" s="8"/>
      <c r="I253" s="89"/>
      <c r="J253" s="8"/>
      <c r="K253" s="8"/>
      <c r="L253" s="8"/>
      <c r="M253" s="8"/>
      <c r="N253" s="8"/>
      <c r="O253" s="8"/>
      <c r="P253" s="8"/>
      <c r="Q253" s="8"/>
      <c r="R253" s="8"/>
      <c r="S253" s="8"/>
      <c r="T253" s="8"/>
      <c r="U253" s="8"/>
      <c r="V253" s="8"/>
      <c r="W253" s="8"/>
      <c r="X253" s="8"/>
      <c r="Y253" s="8"/>
      <c r="Z253" s="8"/>
    </row>
    <row r="254" spans="1:26" ht="12.75" customHeight="1" x14ac:dyDescent="0.3">
      <c r="A254" s="8"/>
      <c r="B254" s="8"/>
      <c r="C254" s="8"/>
      <c r="D254" s="8"/>
      <c r="E254" s="8"/>
      <c r="F254" s="8"/>
      <c r="G254" s="8"/>
      <c r="H254" s="8"/>
      <c r="I254" s="89"/>
      <c r="J254" s="8"/>
      <c r="K254" s="8"/>
      <c r="L254" s="8"/>
      <c r="M254" s="8"/>
      <c r="N254" s="8"/>
      <c r="O254" s="8"/>
      <c r="P254" s="8"/>
      <c r="Q254" s="8"/>
      <c r="R254" s="8"/>
      <c r="S254" s="8"/>
      <c r="T254" s="8"/>
      <c r="U254" s="8"/>
      <c r="V254" s="8"/>
      <c r="W254" s="8"/>
      <c r="X254" s="8"/>
      <c r="Y254" s="8"/>
      <c r="Z254" s="8"/>
    </row>
    <row r="255" spans="1:26" ht="12.75" customHeight="1" x14ac:dyDescent="0.3">
      <c r="A255" s="8"/>
      <c r="B255" s="8"/>
      <c r="C255" s="8"/>
      <c r="D255" s="8"/>
      <c r="E255" s="8"/>
      <c r="F255" s="8"/>
      <c r="G255" s="8"/>
      <c r="H255" s="8"/>
      <c r="I255" s="89"/>
      <c r="J255" s="8"/>
      <c r="K255" s="8"/>
      <c r="L255" s="8"/>
      <c r="M255" s="8"/>
      <c r="N255" s="8"/>
      <c r="O255" s="8"/>
      <c r="P255" s="8"/>
      <c r="Q255" s="8"/>
      <c r="R255" s="8"/>
      <c r="S255" s="8"/>
      <c r="T255" s="8"/>
      <c r="U255" s="8"/>
      <c r="V255" s="8"/>
      <c r="W255" s="8"/>
      <c r="X255" s="8"/>
      <c r="Y255" s="8"/>
      <c r="Z255" s="8"/>
    </row>
    <row r="256" spans="1:26" ht="12.75" customHeight="1" x14ac:dyDescent="0.3">
      <c r="A256" s="8"/>
      <c r="B256" s="8"/>
      <c r="C256" s="8"/>
      <c r="D256" s="8"/>
      <c r="E256" s="8"/>
      <c r="F256" s="8"/>
      <c r="G256" s="8"/>
      <c r="H256" s="8"/>
      <c r="I256" s="89"/>
      <c r="J256" s="8"/>
      <c r="K256" s="8"/>
      <c r="L256" s="8"/>
      <c r="M256" s="8"/>
      <c r="N256" s="8"/>
      <c r="O256" s="8"/>
      <c r="P256" s="8"/>
      <c r="Q256" s="8"/>
      <c r="R256" s="8"/>
      <c r="S256" s="8"/>
      <c r="T256" s="8"/>
      <c r="U256" s="8"/>
      <c r="V256" s="8"/>
      <c r="W256" s="8"/>
      <c r="X256" s="8"/>
      <c r="Y256" s="8"/>
      <c r="Z256" s="8"/>
    </row>
    <row r="257" spans="1:26" ht="12.75" customHeight="1" x14ac:dyDescent="0.3">
      <c r="A257" s="8"/>
      <c r="B257" s="8"/>
      <c r="C257" s="8"/>
      <c r="D257" s="8"/>
      <c r="E257" s="8"/>
      <c r="F257" s="8"/>
      <c r="G257" s="8"/>
      <c r="H257" s="8"/>
      <c r="I257" s="89"/>
      <c r="J257" s="8"/>
      <c r="K257" s="8"/>
      <c r="L257" s="8"/>
      <c r="M257" s="8"/>
      <c r="N257" s="8"/>
      <c r="O257" s="8"/>
      <c r="P257" s="8"/>
      <c r="Q257" s="8"/>
      <c r="R257" s="8"/>
      <c r="S257" s="8"/>
      <c r="T257" s="8"/>
      <c r="U257" s="8"/>
      <c r="V257" s="8"/>
      <c r="W257" s="8"/>
      <c r="X257" s="8"/>
      <c r="Y257" s="8"/>
      <c r="Z257" s="8"/>
    </row>
    <row r="258" spans="1:26" ht="12.75" customHeight="1" x14ac:dyDescent="0.3">
      <c r="A258" s="8"/>
      <c r="B258" s="8"/>
      <c r="C258" s="8"/>
      <c r="D258" s="8"/>
      <c r="E258" s="8"/>
      <c r="F258" s="8"/>
      <c r="G258" s="8"/>
      <c r="H258" s="8"/>
      <c r="I258" s="89"/>
      <c r="J258" s="8"/>
      <c r="K258" s="8"/>
      <c r="L258" s="8"/>
      <c r="M258" s="8"/>
      <c r="N258" s="8"/>
      <c r="O258" s="8"/>
      <c r="P258" s="8"/>
      <c r="Q258" s="8"/>
      <c r="R258" s="8"/>
      <c r="S258" s="8"/>
      <c r="T258" s="8"/>
      <c r="U258" s="8"/>
      <c r="V258" s="8"/>
      <c r="W258" s="8"/>
      <c r="X258" s="8"/>
      <c r="Y258" s="8"/>
      <c r="Z258" s="8"/>
    </row>
    <row r="259" spans="1:26" ht="12.75" customHeight="1" x14ac:dyDescent="0.3">
      <c r="A259" s="8"/>
      <c r="B259" s="8"/>
      <c r="C259" s="8"/>
      <c r="D259" s="8"/>
      <c r="E259" s="8"/>
      <c r="F259" s="8"/>
      <c r="G259" s="8"/>
      <c r="H259" s="8"/>
      <c r="I259" s="89"/>
      <c r="J259" s="8"/>
      <c r="K259" s="8"/>
      <c r="L259" s="8"/>
      <c r="M259" s="8"/>
      <c r="N259" s="8"/>
      <c r="O259" s="8"/>
      <c r="P259" s="8"/>
      <c r="Q259" s="8"/>
      <c r="R259" s="8"/>
      <c r="S259" s="8"/>
      <c r="T259" s="8"/>
      <c r="U259" s="8"/>
      <c r="V259" s="8"/>
      <c r="W259" s="8"/>
      <c r="X259" s="8"/>
      <c r="Y259" s="8"/>
      <c r="Z259" s="8"/>
    </row>
    <row r="260" spans="1:26" ht="12.75" customHeight="1" x14ac:dyDescent="0.3">
      <c r="A260" s="8"/>
      <c r="B260" s="8"/>
      <c r="C260" s="8"/>
      <c r="D260" s="8"/>
      <c r="E260" s="8"/>
      <c r="F260" s="8"/>
      <c r="G260" s="8"/>
      <c r="H260" s="8"/>
      <c r="I260" s="89"/>
      <c r="J260" s="8"/>
      <c r="K260" s="8"/>
      <c r="L260" s="8"/>
      <c r="M260" s="8"/>
      <c r="N260" s="8"/>
      <c r="O260" s="8"/>
      <c r="P260" s="8"/>
      <c r="Q260" s="8"/>
      <c r="R260" s="8"/>
      <c r="S260" s="8"/>
      <c r="T260" s="8"/>
      <c r="U260" s="8"/>
      <c r="V260" s="8"/>
      <c r="W260" s="8"/>
      <c r="X260" s="8"/>
      <c r="Y260" s="8"/>
      <c r="Z260" s="8"/>
    </row>
    <row r="261" spans="1:26" ht="12.75" customHeight="1" x14ac:dyDescent="0.3">
      <c r="A261" s="8"/>
      <c r="B261" s="8"/>
      <c r="C261" s="8"/>
      <c r="D261" s="8"/>
      <c r="E261" s="8"/>
      <c r="F261" s="8"/>
      <c r="G261" s="8"/>
      <c r="H261" s="8"/>
      <c r="I261" s="89"/>
      <c r="J261" s="8"/>
      <c r="K261" s="8"/>
      <c r="L261" s="8"/>
      <c r="M261" s="8"/>
      <c r="N261" s="8"/>
      <c r="O261" s="8"/>
      <c r="P261" s="8"/>
      <c r="Q261" s="8"/>
      <c r="R261" s="8"/>
      <c r="S261" s="8"/>
      <c r="T261" s="8"/>
      <c r="U261" s="8"/>
      <c r="V261" s="8"/>
      <c r="W261" s="8"/>
      <c r="X261" s="8"/>
      <c r="Y261" s="8"/>
      <c r="Z261" s="8"/>
    </row>
    <row r="262" spans="1:26" ht="12.75" customHeight="1" x14ac:dyDescent="0.3">
      <c r="A262" s="8"/>
      <c r="B262" s="8"/>
      <c r="C262" s="8"/>
      <c r="D262" s="8"/>
      <c r="E262" s="8"/>
      <c r="F262" s="8"/>
      <c r="G262" s="8"/>
      <c r="H262" s="8"/>
      <c r="I262" s="89"/>
      <c r="J262" s="8"/>
      <c r="K262" s="8"/>
      <c r="L262" s="8"/>
      <c r="M262" s="8"/>
      <c r="N262" s="8"/>
      <c r="O262" s="8"/>
      <c r="P262" s="8"/>
      <c r="Q262" s="8"/>
      <c r="R262" s="8"/>
      <c r="S262" s="8"/>
      <c r="T262" s="8"/>
      <c r="U262" s="8"/>
      <c r="V262" s="8"/>
      <c r="W262" s="8"/>
      <c r="X262" s="8"/>
      <c r="Y262" s="8"/>
      <c r="Z262" s="8"/>
    </row>
    <row r="263" spans="1:26" ht="12.75" customHeight="1" x14ac:dyDescent="0.3">
      <c r="A263" s="8"/>
      <c r="B263" s="8"/>
      <c r="C263" s="8"/>
      <c r="D263" s="8"/>
      <c r="E263" s="8"/>
      <c r="F263" s="8"/>
      <c r="G263" s="8"/>
      <c r="H263" s="8"/>
      <c r="I263" s="89"/>
      <c r="J263" s="8"/>
      <c r="K263" s="8"/>
      <c r="L263" s="8"/>
      <c r="M263" s="8"/>
      <c r="N263" s="8"/>
      <c r="O263" s="8"/>
      <c r="P263" s="8"/>
      <c r="Q263" s="8"/>
      <c r="R263" s="8"/>
      <c r="S263" s="8"/>
      <c r="T263" s="8"/>
      <c r="U263" s="8"/>
      <c r="V263" s="8"/>
      <c r="W263" s="8"/>
      <c r="X263" s="8"/>
      <c r="Y263" s="8"/>
      <c r="Z263" s="8"/>
    </row>
    <row r="264" spans="1:26" ht="12.75" customHeight="1" x14ac:dyDescent="0.3">
      <c r="A264" s="8"/>
      <c r="B264" s="8"/>
      <c r="C264" s="8"/>
      <c r="D264" s="8"/>
      <c r="E264" s="8"/>
      <c r="F264" s="8"/>
      <c r="G264" s="8"/>
      <c r="H264" s="8"/>
      <c r="I264" s="89"/>
      <c r="J264" s="8"/>
      <c r="K264" s="8"/>
      <c r="L264" s="8"/>
      <c r="M264" s="8"/>
      <c r="N264" s="8"/>
      <c r="O264" s="8"/>
      <c r="P264" s="8"/>
      <c r="Q264" s="8"/>
      <c r="R264" s="8"/>
      <c r="S264" s="8"/>
      <c r="T264" s="8"/>
      <c r="U264" s="8"/>
      <c r="V264" s="8"/>
      <c r="W264" s="8"/>
      <c r="X264" s="8"/>
      <c r="Y264" s="8"/>
      <c r="Z264" s="8"/>
    </row>
    <row r="265" spans="1:26" ht="12.75" customHeight="1" x14ac:dyDescent="0.3">
      <c r="A265" s="8"/>
      <c r="B265" s="8"/>
      <c r="C265" s="8"/>
      <c r="D265" s="8"/>
      <c r="E265" s="8"/>
      <c r="F265" s="8"/>
      <c r="G265" s="8"/>
      <c r="H265" s="8"/>
      <c r="I265" s="89"/>
      <c r="J265" s="8"/>
      <c r="K265" s="8"/>
      <c r="L265" s="8"/>
      <c r="M265" s="8"/>
      <c r="N265" s="8"/>
      <c r="O265" s="8"/>
      <c r="P265" s="8"/>
      <c r="Q265" s="8"/>
      <c r="R265" s="8"/>
      <c r="S265" s="8"/>
      <c r="T265" s="8"/>
      <c r="U265" s="8"/>
      <c r="V265" s="8"/>
      <c r="W265" s="8"/>
      <c r="X265" s="8"/>
      <c r="Y265" s="8"/>
      <c r="Z265" s="8"/>
    </row>
    <row r="266" spans="1:26" ht="12.75" customHeight="1" x14ac:dyDescent="0.3">
      <c r="A266" s="8"/>
      <c r="B266" s="8"/>
      <c r="C266" s="8"/>
      <c r="D266" s="8"/>
      <c r="E266" s="8"/>
      <c r="F266" s="8"/>
      <c r="G266" s="8"/>
      <c r="H266" s="8"/>
      <c r="I266" s="89"/>
      <c r="J266" s="8"/>
      <c r="K266" s="8"/>
      <c r="L266" s="8"/>
      <c r="M266" s="8"/>
      <c r="N266" s="8"/>
      <c r="O266" s="8"/>
      <c r="P266" s="8"/>
      <c r="Q266" s="8"/>
      <c r="R266" s="8"/>
      <c r="S266" s="8"/>
      <c r="T266" s="8"/>
      <c r="U266" s="8"/>
      <c r="V266" s="8"/>
      <c r="W266" s="8"/>
      <c r="X266" s="8"/>
      <c r="Y266" s="8"/>
      <c r="Z266" s="8"/>
    </row>
    <row r="267" spans="1:26" ht="12.75" customHeight="1" x14ac:dyDescent="0.3">
      <c r="A267" s="8"/>
      <c r="B267" s="8"/>
      <c r="C267" s="8"/>
      <c r="D267" s="8"/>
      <c r="E267" s="8"/>
      <c r="F267" s="8"/>
      <c r="G267" s="8"/>
      <c r="H267" s="8"/>
      <c r="I267" s="89"/>
      <c r="J267" s="8"/>
      <c r="K267" s="8"/>
      <c r="L267" s="8"/>
      <c r="M267" s="8"/>
      <c r="N267" s="8"/>
      <c r="O267" s="8"/>
      <c r="P267" s="8"/>
      <c r="Q267" s="8"/>
      <c r="R267" s="8"/>
      <c r="S267" s="8"/>
      <c r="T267" s="8"/>
      <c r="U267" s="8"/>
      <c r="V267" s="8"/>
      <c r="W267" s="8"/>
      <c r="X267" s="8"/>
      <c r="Y267" s="8"/>
      <c r="Z267" s="8"/>
    </row>
    <row r="268" spans="1:26" ht="12.75" customHeight="1" x14ac:dyDescent="0.3">
      <c r="A268" s="8"/>
      <c r="B268" s="8"/>
      <c r="C268" s="8"/>
      <c r="D268" s="8"/>
      <c r="E268" s="8"/>
      <c r="F268" s="8"/>
      <c r="G268" s="8"/>
      <c r="H268" s="8"/>
      <c r="I268" s="89"/>
      <c r="J268" s="8"/>
      <c r="K268" s="8"/>
      <c r="L268" s="8"/>
      <c r="M268" s="8"/>
      <c r="N268" s="8"/>
      <c r="O268" s="8"/>
      <c r="P268" s="8"/>
      <c r="Q268" s="8"/>
      <c r="R268" s="8"/>
      <c r="S268" s="8"/>
      <c r="T268" s="8"/>
      <c r="U268" s="8"/>
      <c r="V268" s="8"/>
      <c r="W268" s="8"/>
      <c r="X268" s="8"/>
      <c r="Y268" s="8"/>
      <c r="Z268" s="8"/>
    </row>
    <row r="269" spans="1:26" ht="12.75" customHeight="1" x14ac:dyDescent="0.3">
      <c r="A269" s="8"/>
      <c r="B269" s="8"/>
      <c r="C269" s="8"/>
      <c r="D269" s="8"/>
      <c r="E269" s="8"/>
      <c r="F269" s="8"/>
      <c r="G269" s="8"/>
      <c r="H269" s="8"/>
      <c r="I269" s="89"/>
      <c r="J269" s="8"/>
      <c r="K269" s="8"/>
      <c r="L269" s="8"/>
      <c r="M269" s="8"/>
      <c r="N269" s="8"/>
      <c r="O269" s="8"/>
      <c r="P269" s="8"/>
      <c r="Q269" s="8"/>
      <c r="R269" s="8"/>
      <c r="S269" s="8"/>
      <c r="T269" s="8"/>
      <c r="U269" s="8"/>
      <c r="V269" s="8"/>
      <c r="W269" s="8"/>
      <c r="X269" s="8"/>
      <c r="Y269" s="8"/>
      <c r="Z269" s="8"/>
    </row>
    <row r="270" spans="1:26" ht="12.75" customHeight="1" x14ac:dyDescent="0.3">
      <c r="A270" s="8"/>
      <c r="B270" s="8"/>
      <c r="C270" s="8"/>
      <c r="D270" s="8"/>
      <c r="E270" s="8"/>
      <c r="F270" s="8"/>
      <c r="G270" s="8"/>
      <c r="H270" s="8"/>
      <c r="I270" s="89"/>
      <c r="J270" s="8"/>
      <c r="K270" s="8"/>
      <c r="L270" s="8"/>
      <c r="M270" s="8"/>
      <c r="N270" s="8"/>
      <c r="O270" s="8"/>
      <c r="P270" s="8"/>
      <c r="Q270" s="8"/>
      <c r="R270" s="8"/>
      <c r="S270" s="8"/>
      <c r="T270" s="8"/>
      <c r="U270" s="8"/>
      <c r="V270" s="8"/>
      <c r="W270" s="8"/>
      <c r="X270" s="8"/>
      <c r="Y270" s="8"/>
      <c r="Z270" s="8"/>
    </row>
    <row r="271" spans="1:26" ht="12.75" customHeight="1" x14ac:dyDescent="0.3">
      <c r="A271" s="8"/>
      <c r="B271" s="8"/>
      <c r="C271" s="8"/>
      <c r="D271" s="8"/>
      <c r="E271" s="8"/>
      <c r="F271" s="8"/>
      <c r="G271" s="8"/>
      <c r="H271" s="8"/>
      <c r="I271" s="89"/>
      <c r="J271" s="8"/>
      <c r="K271" s="8"/>
      <c r="L271" s="8"/>
      <c r="M271" s="8"/>
      <c r="N271" s="8"/>
      <c r="O271" s="8"/>
      <c r="P271" s="8"/>
      <c r="Q271" s="8"/>
      <c r="R271" s="8"/>
      <c r="S271" s="8"/>
      <c r="T271" s="8"/>
      <c r="U271" s="8"/>
      <c r="V271" s="8"/>
      <c r="W271" s="8"/>
      <c r="X271" s="8"/>
      <c r="Y271" s="8"/>
      <c r="Z271" s="8"/>
    </row>
    <row r="272" spans="1:26" ht="12.75" customHeight="1" x14ac:dyDescent="0.3">
      <c r="A272" s="8"/>
      <c r="B272" s="8"/>
      <c r="C272" s="8"/>
      <c r="D272" s="8"/>
      <c r="E272" s="8"/>
      <c r="F272" s="8"/>
      <c r="G272" s="8"/>
      <c r="H272" s="8"/>
      <c r="I272" s="89"/>
      <c r="J272" s="8"/>
      <c r="K272" s="8"/>
      <c r="L272" s="8"/>
      <c r="M272" s="8"/>
      <c r="N272" s="8"/>
      <c r="O272" s="8"/>
      <c r="P272" s="8"/>
      <c r="Q272" s="8"/>
      <c r="R272" s="8"/>
      <c r="S272" s="8"/>
      <c r="T272" s="8"/>
      <c r="U272" s="8"/>
      <c r="V272" s="8"/>
      <c r="W272" s="8"/>
      <c r="X272" s="8"/>
      <c r="Y272" s="8"/>
      <c r="Z272" s="8"/>
    </row>
    <row r="273" spans="1:26" ht="12.75" customHeight="1" x14ac:dyDescent="0.3">
      <c r="A273" s="8"/>
      <c r="B273" s="8"/>
      <c r="C273" s="8"/>
      <c r="D273" s="8"/>
      <c r="E273" s="8"/>
      <c r="F273" s="8"/>
      <c r="G273" s="8"/>
      <c r="H273" s="8"/>
      <c r="I273" s="89"/>
      <c r="J273" s="8"/>
      <c r="K273" s="8"/>
      <c r="L273" s="8"/>
      <c r="M273" s="8"/>
      <c r="N273" s="8"/>
      <c r="O273" s="8"/>
      <c r="P273" s="8"/>
      <c r="Q273" s="8"/>
      <c r="R273" s="8"/>
      <c r="S273" s="8"/>
      <c r="T273" s="8"/>
      <c r="U273" s="8"/>
      <c r="V273" s="8"/>
      <c r="W273" s="8"/>
      <c r="X273" s="8"/>
      <c r="Y273" s="8"/>
      <c r="Z273" s="8"/>
    </row>
    <row r="274" spans="1:26" ht="12.75" customHeight="1" x14ac:dyDescent="0.3">
      <c r="A274" s="8"/>
      <c r="B274" s="8"/>
      <c r="C274" s="8"/>
      <c r="D274" s="8"/>
      <c r="E274" s="8"/>
      <c r="F274" s="8"/>
      <c r="G274" s="8"/>
      <c r="H274" s="8"/>
      <c r="I274" s="89"/>
      <c r="J274" s="8"/>
      <c r="K274" s="8"/>
      <c r="L274" s="8"/>
      <c r="M274" s="8"/>
      <c r="N274" s="8"/>
      <c r="O274" s="8"/>
      <c r="P274" s="8"/>
      <c r="Q274" s="8"/>
      <c r="R274" s="8"/>
      <c r="S274" s="8"/>
      <c r="T274" s="8"/>
      <c r="U274" s="8"/>
      <c r="V274" s="8"/>
      <c r="W274" s="8"/>
      <c r="X274" s="8"/>
      <c r="Y274" s="8"/>
      <c r="Z274" s="8"/>
    </row>
    <row r="275" spans="1:26" ht="12.75" customHeight="1" x14ac:dyDescent="0.3">
      <c r="A275" s="8"/>
      <c r="B275" s="8"/>
      <c r="C275" s="8"/>
      <c r="D275" s="8"/>
      <c r="E275" s="8"/>
      <c r="F275" s="8"/>
      <c r="G275" s="8"/>
      <c r="H275" s="8"/>
      <c r="I275" s="89"/>
      <c r="J275" s="8"/>
      <c r="K275" s="8"/>
      <c r="L275" s="8"/>
      <c r="M275" s="8"/>
      <c r="N275" s="8"/>
      <c r="O275" s="8"/>
      <c r="P275" s="8"/>
      <c r="Q275" s="8"/>
      <c r="R275" s="8"/>
      <c r="S275" s="8"/>
      <c r="T275" s="8"/>
      <c r="U275" s="8"/>
      <c r="V275" s="8"/>
      <c r="W275" s="8"/>
      <c r="X275" s="8"/>
      <c r="Y275" s="8"/>
      <c r="Z275" s="8"/>
    </row>
    <row r="276" spans="1:26" ht="12.75" customHeight="1" x14ac:dyDescent="0.3">
      <c r="A276" s="8"/>
      <c r="B276" s="8"/>
      <c r="C276" s="8"/>
      <c r="D276" s="8"/>
      <c r="E276" s="8"/>
      <c r="F276" s="8"/>
      <c r="G276" s="8"/>
      <c r="H276" s="8"/>
      <c r="I276" s="89"/>
      <c r="J276" s="8"/>
      <c r="K276" s="8"/>
      <c r="L276" s="8"/>
      <c r="M276" s="8"/>
      <c r="N276" s="8"/>
      <c r="O276" s="8"/>
      <c r="P276" s="8"/>
      <c r="Q276" s="8"/>
      <c r="R276" s="8"/>
      <c r="S276" s="8"/>
      <c r="T276" s="8"/>
      <c r="U276" s="8"/>
      <c r="V276" s="8"/>
      <c r="W276" s="8"/>
      <c r="X276" s="8"/>
      <c r="Y276" s="8"/>
      <c r="Z276" s="8"/>
    </row>
    <row r="277" spans="1:26" ht="12.75" customHeight="1" x14ac:dyDescent="0.3">
      <c r="A277" s="8"/>
      <c r="B277" s="8"/>
      <c r="C277" s="8"/>
      <c r="D277" s="8"/>
      <c r="E277" s="8"/>
      <c r="F277" s="8"/>
      <c r="G277" s="8"/>
      <c r="H277" s="8"/>
      <c r="I277" s="89"/>
      <c r="J277" s="8"/>
      <c r="K277" s="8"/>
      <c r="L277" s="8"/>
      <c r="M277" s="8"/>
      <c r="N277" s="8"/>
      <c r="O277" s="8"/>
      <c r="P277" s="8"/>
      <c r="Q277" s="8"/>
      <c r="R277" s="8"/>
      <c r="S277" s="8"/>
      <c r="T277" s="8"/>
      <c r="U277" s="8"/>
      <c r="V277" s="8"/>
      <c r="W277" s="8"/>
      <c r="X277" s="8"/>
      <c r="Y277" s="8"/>
      <c r="Z277" s="8"/>
    </row>
    <row r="278" spans="1:26" ht="12.75" customHeight="1" x14ac:dyDescent="0.3">
      <c r="A278" s="8"/>
      <c r="B278" s="8"/>
      <c r="C278" s="8"/>
      <c r="D278" s="8"/>
      <c r="E278" s="8"/>
      <c r="F278" s="8"/>
      <c r="G278" s="8"/>
      <c r="H278" s="8"/>
      <c r="I278" s="89"/>
      <c r="J278" s="8"/>
      <c r="K278" s="8"/>
      <c r="L278" s="8"/>
      <c r="M278" s="8"/>
      <c r="N278" s="8"/>
      <c r="O278" s="8"/>
      <c r="P278" s="8"/>
      <c r="Q278" s="8"/>
      <c r="R278" s="8"/>
      <c r="S278" s="8"/>
      <c r="T278" s="8"/>
      <c r="U278" s="8"/>
      <c r="V278" s="8"/>
      <c r="W278" s="8"/>
      <c r="X278" s="8"/>
      <c r="Y278" s="8"/>
      <c r="Z278" s="8"/>
    </row>
    <row r="279" spans="1:26" ht="12.75" customHeight="1" x14ac:dyDescent="0.3">
      <c r="A279" s="8"/>
      <c r="B279" s="8"/>
      <c r="C279" s="8"/>
      <c r="D279" s="8"/>
      <c r="E279" s="8"/>
      <c r="F279" s="8"/>
      <c r="G279" s="8"/>
      <c r="H279" s="8"/>
      <c r="I279" s="89"/>
      <c r="J279" s="8"/>
      <c r="K279" s="8"/>
      <c r="L279" s="8"/>
      <c r="M279" s="8"/>
      <c r="N279" s="8"/>
      <c r="O279" s="8"/>
      <c r="P279" s="8"/>
      <c r="Q279" s="8"/>
      <c r="R279" s="8"/>
      <c r="S279" s="8"/>
      <c r="T279" s="8"/>
      <c r="U279" s="8"/>
      <c r="V279" s="8"/>
      <c r="W279" s="8"/>
      <c r="X279" s="8"/>
      <c r="Y279" s="8"/>
      <c r="Z279" s="8"/>
    </row>
    <row r="280" spans="1:26" ht="12.75" customHeight="1" x14ac:dyDescent="0.3">
      <c r="A280" s="8"/>
      <c r="B280" s="8"/>
      <c r="C280" s="8"/>
      <c r="D280" s="8"/>
      <c r="E280" s="8"/>
      <c r="F280" s="8"/>
      <c r="G280" s="8"/>
      <c r="H280" s="8"/>
      <c r="I280" s="89"/>
      <c r="J280" s="8"/>
      <c r="K280" s="8"/>
      <c r="L280" s="8"/>
      <c r="M280" s="8"/>
      <c r="N280" s="8"/>
      <c r="O280" s="8"/>
      <c r="P280" s="8"/>
      <c r="Q280" s="8"/>
      <c r="R280" s="8"/>
      <c r="S280" s="8"/>
      <c r="T280" s="8"/>
      <c r="U280" s="8"/>
      <c r="V280" s="8"/>
      <c r="W280" s="8"/>
      <c r="X280" s="8"/>
      <c r="Y280" s="8"/>
      <c r="Z280" s="8"/>
    </row>
    <row r="281" spans="1:26" ht="12.75" customHeight="1" x14ac:dyDescent="0.3">
      <c r="A281" s="8"/>
      <c r="B281" s="8"/>
      <c r="C281" s="8"/>
      <c r="D281" s="8"/>
      <c r="E281" s="8"/>
      <c r="F281" s="8"/>
      <c r="G281" s="8"/>
      <c r="H281" s="8"/>
      <c r="I281" s="89"/>
      <c r="J281" s="8"/>
      <c r="K281" s="8"/>
      <c r="L281" s="8"/>
      <c r="M281" s="8"/>
      <c r="N281" s="8"/>
      <c r="O281" s="8"/>
      <c r="P281" s="8"/>
      <c r="Q281" s="8"/>
      <c r="R281" s="8"/>
      <c r="S281" s="8"/>
      <c r="T281" s="8"/>
      <c r="U281" s="8"/>
      <c r="V281" s="8"/>
      <c r="W281" s="8"/>
      <c r="X281" s="8"/>
      <c r="Y281" s="8"/>
      <c r="Z281" s="8"/>
    </row>
    <row r="282" spans="1:26" ht="12.75" customHeight="1" x14ac:dyDescent="0.3">
      <c r="A282" s="8"/>
      <c r="B282" s="8"/>
      <c r="C282" s="8"/>
      <c r="D282" s="8"/>
      <c r="E282" s="8"/>
      <c r="F282" s="8"/>
      <c r="G282" s="8"/>
      <c r="H282" s="8"/>
      <c r="I282" s="89"/>
      <c r="J282" s="8"/>
      <c r="K282" s="8"/>
      <c r="L282" s="8"/>
      <c r="M282" s="8"/>
      <c r="N282" s="8"/>
      <c r="O282" s="8"/>
      <c r="P282" s="8"/>
      <c r="Q282" s="8"/>
      <c r="R282" s="8"/>
      <c r="S282" s="8"/>
      <c r="T282" s="8"/>
      <c r="U282" s="8"/>
      <c r="V282" s="8"/>
      <c r="W282" s="8"/>
      <c r="X282" s="8"/>
      <c r="Y282" s="8"/>
      <c r="Z282" s="8"/>
    </row>
    <row r="283" spans="1:26" ht="12.75" customHeight="1" x14ac:dyDescent="0.3">
      <c r="A283" s="8"/>
      <c r="B283" s="8"/>
      <c r="C283" s="8"/>
      <c r="D283" s="8"/>
      <c r="E283" s="8"/>
      <c r="F283" s="8"/>
      <c r="G283" s="8"/>
      <c r="H283" s="8"/>
      <c r="I283" s="89"/>
      <c r="J283" s="8"/>
      <c r="K283" s="8"/>
      <c r="L283" s="8"/>
      <c r="M283" s="8"/>
      <c r="N283" s="8"/>
      <c r="O283" s="8"/>
      <c r="P283" s="8"/>
      <c r="Q283" s="8"/>
      <c r="R283" s="8"/>
      <c r="S283" s="8"/>
      <c r="T283" s="8"/>
      <c r="U283" s="8"/>
      <c r="V283" s="8"/>
      <c r="W283" s="8"/>
      <c r="X283" s="8"/>
      <c r="Y283" s="8"/>
      <c r="Z283" s="8"/>
    </row>
    <row r="284" spans="1:26" ht="12.75" customHeight="1" x14ac:dyDescent="0.3">
      <c r="A284" s="8"/>
      <c r="B284" s="8"/>
      <c r="C284" s="8"/>
      <c r="D284" s="8"/>
      <c r="E284" s="8"/>
      <c r="F284" s="8"/>
      <c r="G284" s="8"/>
      <c r="H284" s="8"/>
      <c r="I284" s="89"/>
      <c r="J284" s="8"/>
      <c r="K284" s="8"/>
      <c r="L284" s="8"/>
      <c r="M284" s="8"/>
      <c r="N284" s="8"/>
      <c r="O284" s="8"/>
      <c r="P284" s="8"/>
      <c r="Q284" s="8"/>
      <c r="R284" s="8"/>
      <c r="S284" s="8"/>
      <c r="T284" s="8"/>
      <c r="U284" s="8"/>
      <c r="V284" s="8"/>
      <c r="W284" s="8"/>
      <c r="X284" s="8"/>
      <c r="Y284" s="8"/>
      <c r="Z284" s="8"/>
    </row>
    <row r="285" spans="1:26" ht="12.75" customHeight="1" x14ac:dyDescent="0.3">
      <c r="A285" s="8"/>
      <c r="B285" s="8"/>
      <c r="C285" s="8"/>
      <c r="D285" s="8"/>
      <c r="E285" s="8"/>
      <c r="F285" s="8"/>
      <c r="G285" s="8"/>
      <c r="H285" s="8"/>
      <c r="I285" s="89"/>
      <c r="J285" s="8"/>
      <c r="K285" s="8"/>
      <c r="L285" s="8"/>
      <c r="M285" s="8"/>
      <c r="N285" s="8"/>
      <c r="O285" s="8"/>
      <c r="P285" s="8"/>
      <c r="Q285" s="8"/>
      <c r="R285" s="8"/>
      <c r="S285" s="8"/>
      <c r="T285" s="8"/>
      <c r="U285" s="8"/>
      <c r="V285" s="8"/>
      <c r="W285" s="8"/>
      <c r="X285" s="8"/>
      <c r="Y285" s="8"/>
      <c r="Z285" s="8"/>
    </row>
    <row r="286" spans="1:26" ht="12.75" customHeight="1" x14ac:dyDescent="0.3">
      <c r="A286" s="8"/>
      <c r="B286" s="8"/>
      <c r="C286" s="8"/>
      <c r="D286" s="8"/>
      <c r="E286" s="8"/>
      <c r="F286" s="8"/>
      <c r="G286" s="8"/>
      <c r="H286" s="8"/>
      <c r="I286" s="89"/>
      <c r="J286" s="8"/>
      <c r="K286" s="8"/>
      <c r="L286" s="8"/>
      <c r="M286" s="8"/>
      <c r="N286" s="8"/>
      <c r="O286" s="8"/>
      <c r="P286" s="8"/>
      <c r="Q286" s="8"/>
      <c r="R286" s="8"/>
      <c r="S286" s="8"/>
      <c r="T286" s="8"/>
      <c r="U286" s="8"/>
      <c r="V286" s="8"/>
      <c r="W286" s="8"/>
      <c r="X286" s="8"/>
      <c r="Y286" s="8"/>
      <c r="Z286" s="8"/>
    </row>
    <row r="287" spans="1:26" ht="12.75" customHeight="1" x14ac:dyDescent="0.3">
      <c r="A287" s="8"/>
      <c r="B287" s="8"/>
      <c r="C287" s="8"/>
      <c r="D287" s="8"/>
      <c r="E287" s="8"/>
      <c r="F287" s="8"/>
      <c r="G287" s="8"/>
      <c r="H287" s="8"/>
      <c r="I287" s="89"/>
      <c r="J287" s="8"/>
      <c r="K287" s="8"/>
      <c r="L287" s="8"/>
      <c r="M287" s="8"/>
      <c r="N287" s="8"/>
      <c r="O287" s="8"/>
      <c r="P287" s="8"/>
      <c r="Q287" s="8"/>
      <c r="R287" s="8"/>
      <c r="S287" s="8"/>
      <c r="T287" s="8"/>
      <c r="U287" s="8"/>
      <c r="V287" s="8"/>
      <c r="W287" s="8"/>
      <c r="X287" s="8"/>
      <c r="Y287" s="8"/>
      <c r="Z287" s="8"/>
    </row>
    <row r="288" spans="1:26" ht="12.75" customHeight="1" x14ac:dyDescent="0.3">
      <c r="A288" s="8"/>
      <c r="B288" s="8"/>
      <c r="C288" s="8"/>
      <c r="D288" s="8"/>
      <c r="E288" s="8"/>
      <c r="F288" s="8"/>
      <c r="G288" s="8"/>
      <c r="H288" s="8"/>
      <c r="I288" s="89"/>
      <c r="J288" s="8"/>
      <c r="K288" s="8"/>
      <c r="L288" s="8"/>
      <c r="M288" s="8"/>
      <c r="N288" s="8"/>
      <c r="O288" s="8"/>
      <c r="P288" s="8"/>
      <c r="Q288" s="8"/>
      <c r="R288" s="8"/>
      <c r="S288" s="8"/>
      <c r="T288" s="8"/>
      <c r="U288" s="8"/>
      <c r="V288" s="8"/>
      <c r="W288" s="8"/>
      <c r="X288" s="8"/>
      <c r="Y288" s="8"/>
      <c r="Z288" s="8"/>
    </row>
    <row r="289" spans="1:26" ht="12.75" customHeight="1" x14ac:dyDescent="0.3">
      <c r="A289" s="8"/>
      <c r="B289" s="8"/>
      <c r="C289" s="8"/>
      <c r="D289" s="8"/>
      <c r="E289" s="8"/>
      <c r="F289" s="8"/>
      <c r="G289" s="8"/>
      <c r="H289" s="8"/>
      <c r="I289" s="89"/>
      <c r="J289" s="8"/>
      <c r="K289" s="8"/>
      <c r="L289" s="8"/>
      <c r="M289" s="8"/>
      <c r="N289" s="8"/>
      <c r="O289" s="8"/>
      <c r="P289" s="8"/>
      <c r="Q289" s="8"/>
      <c r="R289" s="8"/>
      <c r="S289" s="8"/>
      <c r="T289" s="8"/>
      <c r="U289" s="8"/>
      <c r="V289" s="8"/>
      <c r="W289" s="8"/>
      <c r="X289" s="8"/>
      <c r="Y289" s="8"/>
      <c r="Z289" s="8"/>
    </row>
    <row r="290" spans="1:26" ht="12.75" customHeight="1" x14ac:dyDescent="0.3">
      <c r="A290" s="8"/>
      <c r="B290" s="8"/>
      <c r="C290" s="8"/>
      <c r="D290" s="8"/>
      <c r="E290" s="8"/>
      <c r="F290" s="8"/>
      <c r="G290" s="8"/>
      <c r="H290" s="8"/>
      <c r="I290" s="89"/>
      <c r="J290" s="8"/>
      <c r="K290" s="8"/>
      <c r="L290" s="8"/>
      <c r="M290" s="8"/>
      <c r="N290" s="8"/>
      <c r="O290" s="8"/>
      <c r="P290" s="8"/>
      <c r="Q290" s="8"/>
      <c r="R290" s="8"/>
      <c r="S290" s="8"/>
      <c r="T290" s="8"/>
      <c r="U290" s="8"/>
      <c r="V290" s="8"/>
      <c r="W290" s="8"/>
      <c r="X290" s="8"/>
      <c r="Y290" s="8"/>
      <c r="Z290" s="8"/>
    </row>
    <row r="291" spans="1:26" ht="12.75" customHeight="1" x14ac:dyDescent="0.3">
      <c r="A291" s="8"/>
      <c r="B291" s="8"/>
      <c r="C291" s="8"/>
      <c r="D291" s="8"/>
      <c r="E291" s="8"/>
      <c r="F291" s="8"/>
      <c r="G291" s="8"/>
      <c r="H291" s="8"/>
      <c r="I291" s="89"/>
      <c r="J291" s="8"/>
      <c r="K291" s="8"/>
      <c r="L291" s="8"/>
      <c r="M291" s="8"/>
      <c r="N291" s="8"/>
      <c r="O291" s="8"/>
      <c r="P291" s="8"/>
      <c r="Q291" s="8"/>
      <c r="R291" s="8"/>
      <c r="S291" s="8"/>
      <c r="T291" s="8"/>
      <c r="U291" s="8"/>
      <c r="V291" s="8"/>
      <c r="W291" s="8"/>
      <c r="X291" s="8"/>
      <c r="Y291" s="8"/>
      <c r="Z291" s="8"/>
    </row>
    <row r="292" spans="1:26" ht="14.25" customHeight="1" x14ac:dyDescent="0.3"/>
    <row r="293" spans="1:26" ht="14.25" customHeight="1" x14ac:dyDescent="0.3"/>
    <row r="294" spans="1:26" ht="14.25" customHeight="1" x14ac:dyDescent="0.3"/>
    <row r="295" spans="1:26" ht="14.25" customHeight="1" x14ac:dyDescent="0.3"/>
    <row r="296" spans="1:26" ht="14.25" customHeight="1" x14ac:dyDescent="0.3"/>
    <row r="297" spans="1:26" ht="14.25" customHeight="1" x14ac:dyDescent="0.3"/>
    <row r="298" spans="1:26" ht="14.25" customHeight="1" x14ac:dyDescent="0.3"/>
    <row r="299" spans="1:26" ht="14.25" customHeight="1" x14ac:dyDescent="0.3"/>
    <row r="300" spans="1:26" ht="14.25" customHeight="1" x14ac:dyDescent="0.3"/>
    <row r="301" spans="1:26" ht="14.25" customHeight="1" x14ac:dyDescent="0.3"/>
    <row r="302" spans="1:26" ht="14.25" customHeight="1" x14ac:dyDescent="0.3"/>
    <row r="303" spans="1:26" ht="14.25" customHeight="1" x14ac:dyDescent="0.3"/>
    <row r="304" spans="1:26"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B2:H2"/>
    <mergeCell ref="B3:H3"/>
    <mergeCell ref="B4:H4"/>
    <mergeCell ref="F5:H5"/>
    <mergeCell ref="F6:H6"/>
  </mergeCells>
  <dataValidations count="1">
    <dataValidation type="list" allowBlank="1" showInputMessage="1" showErrorMessage="1" prompt=" - " sqref="F1 F7:F143">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A61" zoomScaleNormal="100" workbookViewId="0">
      <selection activeCell="B3" sqref="B3:H3"/>
    </sheetView>
  </sheetViews>
  <sheetFormatPr defaultColWidth="14.44140625" defaultRowHeight="14.4" x14ac:dyDescent="0.3"/>
  <cols>
    <col min="1" max="1" width="28" style="1" customWidth="1"/>
    <col min="2" max="2" width="34" style="1" customWidth="1"/>
    <col min="3" max="3" width="52" style="1" customWidth="1"/>
    <col min="4" max="4" width="50" style="1" customWidth="1"/>
    <col min="5" max="5" width="26" style="1" customWidth="1"/>
    <col min="6" max="6" width="9" style="1" customWidth="1"/>
    <col min="7" max="7" width="12" style="1" customWidth="1"/>
    <col min="8" max="8" width="28" style="1" customWidth="1"/>
    <col min="9" max="9" width="9.44140625" style="1" customWidth="1"/>
    <col min="10" max="10" width="8.109375" style="1" hidden="1" customWidth="1"/>
    <col min="11" max="26" width="9.109375" style="1" customWidth="1"/>
  </cols>
  <sheetData>
    <row r="1" spans="1:26" ht="13.5" customHeight="1" x14ac:dyDescent="0.3">
      <c r="A1" s="63"/>
      <c r="B1" s="64"/>
      <c r="C1" s="64"/>
      <c r="D1" s="64"/>
      <c r="E1" s="64"/>
      <c r="F1" s="36"/>
      <c r="G1" s="65"/>
      <c r="H1" s="36"/>
      <c r="I1" s="66"/>
      <c r="J1" s="67"/>
      <c r="K1" s="67"/>
      <c r="L1" s="67"/>
      <c r="M1" s="67"/>
      <c r="N1" s="67"/>
      <c r="O1" s="67"/>
      <c r="P1" s="67"/>
      <c r="Q1" s="67"/>
      <c r="R1" s="67"/>
      <c r="S1" s="67"/>
      <c r="T1" s="67"/>
      <c r="U1" s="67"/>
      <c r="V1" s="67"/>
      <c r="W1" s="67"/>
      <c r="X1" s="67"/>
      <c r="Y1" s="67"/>
      <c r="Z1" s="67"/>
    </row>
    <row r="2" spans="1:26" ht="15" customHeight="1" x14ac:dyDescent="0.3">
      <c r="A2" s="63" t="s">
        <v>319</v>
      </c>
      <c r="B2" s="123" t="s">
        <v>577</v>
      </c>
      <c r="C2" s="123"/>
      <c r="D2" s="123"/>
      <c r="E2" s="123"/>
      <c r="F2" s="123"/>
      <c r="G2" s="123"/>
      <c r="H2" s="123"/>
      <c r="I2" s="66"/>
      <c r="J2" s="67" t="s">
        <v>321</v>
      </c>
      <c r="K2" s="67"/>
      <c r="L2" s="67"/>
      <c r="M2" s="67"/>
      <c r="N2" s="67"/>
      <c r="O2" s="67"/>
      <c r="P2" s="67"/>
      <c r="Q2" s="67"/>
      <c r="R2" s="67"/>
      <c r="S2" s="67"/>
      <c r="T2" s="67"/>
      <c r="U2" s="67"/>
      <c r="V2" s="67"/>
      <c r="W2" s="67"/>
      <c r="X2" s="67"/>
      <c r="Y2" s="67"/>
      <c r="Z2" s="67"/>
    </row>
    <row r="3" spans="1:26" ht="25.5" customHeight="1" x14ac:dyDescent="0.3">
      <c r="A3" s="63" t="s">
        <v>322</v>
      </c>
      <c r="B3" s="123" t="s">
        <v>578</v>
      </c>
      <c r="C3" s="123"/>
      <c r="D3" s="123"/>
      <c r="E3" s="123"/>
      <c r="F3" s="123"/>
      <c r="G3" s="123"/>
      <c r="H3" s="123"/>
      <c r="I3" s="66"/>
      <c r="J3" s="67" t="s">
        <v>323</v>
      </c>
      <c r="K3" s="67"/>
      <c r="L3" s="67"/>
      <c r="M3" s="67"/>
      <c r="N3" s="67"/>
      <c r="O3" s="67"/>
      <c r="P3" s="67"/>
      <c r="Q3" s="67"/>
      <c r="R3" s="67"/>
      <c r="S3" s="67"/>
      <c r="T3" s="67"/>
      <c r="U3" s="67"/>
      <c r="V3" s="67"/>
      <c r="W3" s="67"/>
      <c r="X3" s="67"/>
      <c r="Y3" s="67"/>
      <c r="Z3" s="67"/>
    </row>
    <row r="4" spans="1:26" ht="18" customHeight="1" x14ac:dyDescent="0.3">
      <c r="A4" s="68" t="s">
        <v>324</v>
      </c>
      <c r="B4" s="123" t="s">
        <v>4</v>
      </c>
      <c r="C4" s="123"/>
      <c r="D4" s="123"/>
      <c r="E4" s="123"/>
      <c r="F4" s="123"/>
      <c r="G4" s="123"/>
      <c r="H4" s="123"/>
      <c r="I4" s="66"/>
      <c r="J4" s="67" t="s">
        <v>325</v>
      </c>
      <c r="K4" s="67"/>
      <c r="L4" s="67"/>
      <c r="M4" s="67"/>
      <c r="N4" s="67"/>
      <c r="O4" s="67"/>
      <c r="P4" s="67"/>
      <c r="Q4" s="67"/>
      <c r="R4" s="67"/>
      <c r="S4" s="67"/>
      <c r="T4" s="67"/>
      <c r="U4" s="67"/>
      <c r="V4" s="67"/>
      <c r="W4" s="67"/>
      <c r="X4" s="67"/>
      <c r="Y4" s="67"/>
      <c r="Z4" s="67"/>
    </row>
    <row r="5" spans="1:26" ht="19.5" customHeight="1" x14ac:dyDescent="0.3">
      <c r="A5" s="69" t="s">
        <v>321</v>
      </c>
      <c r="B5" s="70" t="s">
        <v>323</v>
      </c>
      <c r="C5" s="70" t="s">
        <v>326</v>
      </c>
      <c r="D5" s="70" t="s">
        <v>325</v>
      </c>
      <c r="E5" s="71" t="s">
        <v>327</v>
      </c>
      <c r="F5" s="124" t="s">
        <v>328</v>
      </c>
      <c r="G5" s="124"/>
      <c r="H5" s="124"/>
      <c r="I5" s="72"/>
      <c r="J5" s="67" t="s">
        <v>326</v>
      </c>
      <c r="K5" s="67"/>
      <c r="L5" s="67"/>
      <c r="M5" s="67"/>
      <c r="N5" s="67"/>
      <c r="O5" s="67"/>
      <c r="P5" s="67"/>
      <c r="Q5" s="67"/>
      <c r="R5" s="67"/>
      <c r="S5" s="67"/>
      <c r="T5" s="67"/>
      <c r="U5" s="67"/>
      <c r="V5" s="67"/>
      <c r="W5" s="67"/>
      <c r="X5" s="67"/>
      <c r="Y5" s="67"/>
      <c r="Z5" s="67"/>
    </row>
    <row r="6" spans="1:26" ht="15" customHeight="1" x14ac:dyDescent="0.3">
      <c r="A6" s="73">
        <f>COUNTIF(F9:F996,"Passed")</f>
        <v>38</v>
      </c>
      <c r="B6" s="73">
        <f>COUNTIF(F9:F996,"Failed")</f>
        <v>10</v>
      </c>
      <c r="C6" s="73">
        <f>F6-E6-D6-B6-A6</f>
        <v>0</v>
      </c>
      <c r="D6" s="73">
        <f>COUNTIF(F$9:F$996,"Blocked")</f>
        <v>0</v>
      </c>
      <c r="E6" s="74">
        <f>COUNTIF(F$9:F$996,"Skipped")</f>
        <v>0</v>
      </c>
      <c r="F6" s="125">
        <f>COUNTA(A9:A996)</f>
        <v>48</v>
      </c>
      <c r="G6" s="125"/>
      <c r="H6" s="125"/>
      <c r="I6" s="72"/>
      <c r="J6" s="67" t="s">
        <v>327</v>
      </c>
      <c r="K6" s="67"/>
      <c r="L6" s="67"/>
      <c r="M6" s="67"/>
      <c r="N6" s="67"/>
      <c r="O6" s="67"/>
      <c r="P6" s="67"/>
      <c r="Q6" s="67"/>
      <c r="R6" s="67"/>
      <c r="S6" s="67"/>
      <c r="T6" s="67"/>
      <c r="U6" s="67"/>
      <c r="V6" s="67"/>
      <c r="W6" s="67"/>
      <c r="X6" s="67"/>
      <c r="Y6" s="67"/>
      <c r="Z6" s="67"/>
    </row>
    <row r="7" spans="1:26" ht="15" customHeight="1" x14ac:dyDescent="0.3">
      <c r="A7" s="67"/>
      <c r="B7" s="67"/>
      <c r="C7" s="67"/>
      <c r="D7" s="75"/>
      <c r="E7" s="75"/>
      <c r="F7" s="76"/>
      <c r="G7" s="76"/>
      <c r="H7" s="76"/>
      <c r="I7" s="72"/>
      <c r="J7" s="67"/>
      <c r="K7" s="67"/>
      <c r="L7" s="67"/>
      <c r="M7" s="67"/>
      <c r="N7" s="67"/>
      <c r="O7" s="67"/>
      <c r="P7" s="67"/>
      <c r="Q7" s="67"/>
      <c r="R7" s="67"/>
      <c r="S7" s="67"/>
      <c r="T7" s="67"/>
      <c r="U7" s="67"/>
      <c r="V7" s="67"/>
      <c r="W7" s="67"/>
      <c r="X7" s="67"/>
      <c r="Y7" s="67"/>
      <c r="Z7" s="67"/>
    </row>
    <row r="8" spans="1:26" ht="25.5" customHeight="1" x14ac:dyDescent="0.3">
      <c r="A8" s="77" t="s">
        <v>329</v>
      </c>
      <c r="B8" s="78" t="s">
        <v>330</v>
      </c>
      <c r="C8" s="78" t="s">
        <v>331</v>
      </c>
      <c r="D8" s="78" t="s">
        <v>332</v>
      </c>
      <c r="E8" s="79" t="s">
        <v>333</v>
      </c>
      <c r="F8" s="79" t="s">
        <v>334</v>
      </c>
      <c r="G8" s="79" t="s">
        <v>335</v>
      </c>
      <c r="H8" s="80" t="s">
        <v>53</v>
      </c>
      <c r="I8" s="81"/>
      <c r="J8" s="67"/>
      <c r="K8" s="67"/>
      <c r="L8" s="67"/>
      <c r="M8" s="67"/>
      <c r="N8" s="67"/>
      <c r="O8" s="67"/>
      <c r="P8" s="67"/>
      <c r="Q8" s="67"/>
      <c r="R8" s="67"/>
      <c r="S8" s="67"/>
      <c r="T8" s="67"/>
      <c r="U8" s="67"/>
      <c r="V8" s="67"/>
      <c r="W8" s="67"/>
      <c r="X8" s="67"/>
      <c r="Y8" s="67"/>
      <c r="Z8" s="67"/>
    </row>
    <row r="9" spans="1:26" ht="108" customHeight="1" x14ac:dyDescent="0.3">
      <c r="A9" s="82" t="s">
        <v>579</v>
      </c>
      <c r="B9" s="83" t="s">
        <v>162</v>
      </c>
      <c r="C9" s="83" t="s">
        <v>580</v>
      </c>
      <c r="D9" s="83" t="s">
        <v>581</v>
      </c>
      <c r="E9" s="83"/>
      <c r="F9" s="84" t="s">
        <v>321</v>
      </c>
      <c r="G9" s="85"/>
      <c r="H9" s="86"/>
      <c r="I9" s="87"/>
      <c r="J9" s="8"/>
      <c r="K9" s="8"/>
      <c r="L9" s="8"/>
      <c r="M9" s="8"/>
      <c r="N9" s="8"/>
      <c r="O9" s="8"/>
      <c r="P9" s="8"/>
      <c r="Q9" s="8"/>
      <c r="R9" s="8"/>
      <c r="S9" s="8"/>
      <c r="T9" s="8"/>
      <c r="U9" s="8"/>
      <c r="V9" s="8"/>
      <c r="W9" s="8"/>
      <c r="X9" s="8"/>
      <c r="Y9" s="8"/>
      <c r="Z9" s="8"/>
    </row>
    <row r="10" spans="1:26" ht="108" customHeight="1" x14ac:dyDescent="0.3">
      <c r="A10" s="82" t="s">
        <v>582</v>
      </c>
      <c r="B10" s="83" t="s">
        <v>163</v>
      </c>
      <c r="C10" s="83" t="s">
        <v>583</v>
      </c>
      <c r="D10" s="83" t="s">
        <v>584</v>
      </c>
      <c r="E10" s="83"/>
      <c r="F10" s="84" t="s">
        <v>321</v>
      </c>
      <c r="G10" s="85"/>
      <c r="H10" s="86"/>
      <c r="I10" s="87"/>
      <c r="J10" s="8"/>
      <c r="K10" s="8"/>
      <c r="L10" s="8"/>
      <c r="M10" s="8"/>
      <c r="N10" s="8"/>
      <c r="O10" s="8"/>
      <c r="P10" s="8"/>
      <c r="Q10" s="8"/>
      <c r="R10" s="8"/>
      <c r="S10" s="8"/>
      <c r="T10" s="8"/>
      <c r="U10" s="8"/>
      <c r="V10" s="8"/>
      <c r="W10" s="8"/>
      <c r="X10" s="8"/>
      <c r="Y10" s="8"/>
      <c r="Z10" s="8"/>
    </row>
    <row r="11" spans="1:26" ht="120.75" customHeight="1" x14ac:dyDescent="0.3">
      <c r="A11" s="82" t="s">
        <v>585</v>
      </c>
      <c r="B11" s="83" t="s">
        <v>164</v>
      </c>
      <c r="C11" s="83" t="s">
        <v>586</v>
      </c>
      <c r="D11" s="83" t="s">
        <v>587</v>
      </c>
      <c r="E11" s="83"/>
      <c r="F11" s="84" t="s">
        <v>321</v>
      </c>
      <c r="G11" s="85"/>
      <c r="H11" s="86" t="s">
        <v>165</v>
      </c>
      <c r="I11" s="88"/>
      <c r="J11" s="67"/>
      <c r="K11" s="67"/>
      <c r="L11" s="67"/>
      <c r="M11" s="67"/>
      <c r="N11" s="67"/>
      <c r="O11" s="67"/>
      <c r="P11" s="67"/>
      <c r="Q11" s="67"/>
      <c r="R11" s="67"/>
      <c r="S11" s="67"/>
      <c r="T11" s="67"/>
      <c r="U11" s="67"/>
      <c r="V11" s="67"/>
      <c r="W11" s="67"/>
      <c r="X11" s="67"/>
      <c r="Y11" s="67"/>
      <c r="Z11" s="67"/>
    </row>
    <row r="12" spans="1:26" ht="108" customHeight="1" x14ac:dyDescent="0.3">
      <c r="A12" s="82" t="s">
        <v>588</v>
      </c>
      <c r="B12" s="83" t="s">
        <v>166</v>
      </c>
      <c r="C12" s="83" t="s">
        <v>589</v>
      </c>
      <c r="D12" s="83" t="s">
        <v>590</v>
      </c>
      <c r="E12" s="83"/>
      <c r="F12" s="84" t="s">
        <v>321</v>
      </c>
      <c r="G12" s="85"/>
      <c r="H12" s="86"/>
      <c r="I12" s="87"/>
      <c r="J12" s="8"/>
      <c r="K12" s="8"/>
      <c r="L12" s="8"/>
      <c r="M12" s="8"/>
      <c r="N12" s="8"/>
      <c r="O12" s="8"/>
      <c r="P12" s="8"/>
      <c r="Q12" s="8"/>
      <c r="R12" s="8"/>
      <c r="S12" s="8"/>
      <c r="T12" s="8"/>
      <c r="U12" s="8"/>
      <c r="V12" s="8"/>
      <c r="W12" s="8"/>
      <c r="X12" s="8"/>
      <c r="Y12" s="8"/>
      <c r="Z12" s="8"/>
    </row>
    <row r="13" spans="1:26" ht="120.75" customHeight="1" x14ac:dyDescent="0.3">
      <c r="A13" s="82" t="s">
        <v>591</v>
      </c>
      <c r="B13" s="83" t="s">
        <v>167</v>
      </c>
      <c r="C13" s="83" t="s">
        <v>592</v>
      </c>
      <c r="D13" s="83" t="s">
        <v>593</v>
      </c>
      <c r="E13" s="83"/>
      <c r="F13" s="84" t="s">
        <v>321</v>
      </c>
      <c r="G13" s="85"/>
      <c r="H13" s="86"/>
      <c r="I13" s="89"/>
      <c r="J13" s="8"/>
      <c r="K13" s="8"/>
      <c r="L13" s="8"/>
      <c r="M13" s="8"/>
      <c r="N13" s="8"/>
      <c r="O13" s="8"/>
      <c r="P13" s="8"/>
      <c r="Q13" s="8"/>
      <c r="R13" s="8"/>
      <c r="S13" s="8"/>
      <c r="T13" s="8"/>
      <c r="U13" s="8"/>
      <c r="V13" s="8"/>
      <c r="W13" s="8"/>
      <c r="X13" s="8"/>
      <c r="Y13" s="8"/>
      <c r="Z13" s="8"/>
    </row>
    <row r="14" spans="1:26" ht="120.75" customHeight="1" x14ac:dyDescent="0.3">
      <c r="A14" s="82" t="s">
        <v>594</v>
      </c>
      <c r="B14" s="83" t="s">
        <v>168</v>
      </c>
      <c r="C14" s="83" t="s">
        <v>595</v>
      </c>
      <c r="D14" s="83" t="s">
        <v>596</v>
      </c>
      <c r="E14" s="83"/>
      <c r="F14" s="84" t="s">
        <v>321</v>
      </c>
      <c r="G14" s="85"/>
      <c r="H14" s="86"/>
      <c r="I14" s="88"/>
      <c r="J14" s="67"/>
      <c r="K14" s="67"/>
      <c r="L14" s="67"/>
      <c r="M14" s="67"/>
      <c r="N14" s="67"/>
      <c r="O14" s="67"/>
      <c r="P14" s="67"/>
      <c r="Q14" s="67"/>
      <c r="R14" s="67"/>
      <c r="S14" s="67"/>
      <c r="T14" s="67"/>
      <c r="U14" s="67"/>
      <c r="V14" s="67"/>
      <c r="W14" s="67"/>
      <c r="X14" s="67"/>
      <c r="Y14" s="67"/>
      <c r="Z14" s="67"/>
    </row>
    <row r="15" spans="1:26" ht="133.5" customHeight="1" x14ac:dyDescent="0.3">
      <c r="A15" s="82" t="s">
        <v>597</v>
      </c>
      <c r="B15" s="83" t="s">
        <v>169</v>
      </c>
      <c r="C15" s="83" t="s">
        <v>598</v>
      </c>
      <c r="D15" s="83" t="s">
        <v>599</v>
      </c>
      <c r="E15" s="83"/>
      <c r="F15" s="84" t="s">
        <v>321</v>
      </c>
      <c r="G15" s="85"/>
      <c r="H15" s="86"/>
      <c r="I15" s="87"/>
      <c r="J15" s="8"/>
      <c r="K15" s="8"/>
      <c r="L15" s="8"/>
      <c r="M15" s="8"/>
      <c r="N15" s="8"/>
      <c r="O15" s="8"/>
      <c r="P15" s="8"/>
      <c r="Q15" s="8"/>
      <c r="R15" s="8"/>
      <c r="S15" s="8"/>
      <c r="T15" s="8"/>
      <c r="U15" s="8"/>
      <c r="V15" s="8"/>
      <c r="W15" s="8"/>
      <c r="X15" s="8"/>
      <c r="Y15" s="8"/>
      <c r="Z15" s="8"/>
    </row>
    <row r="16" spans="1:26" ht="108" customHeight="1" x14ac:dyDescent="0.3">
      <c r="A16" s="82" t="s">
        <v>600</v>
      </c>
      <c r="B16" s="83" t="s">
        <v>170</v>
      </c>
      <c r="C16" s="83" t="s">
        <v>601</v>
      </c>
      <c r="D16" s="83" t="s">
        <v>602</v>
      </c>
      <c r="E16" s="83"/>
      <c r="F16" s="84" t="s">
        <v>321</v>
      </c>
      <c r="G16" s="85"/>
      <c r="H16" s="86"/>
      <c r="I16" s="89"/>
      <c r="J16" s="8"/>
      <c r="K16" s="8"/>
      <c r="L16" s="8"/>
      <c r="M16" s="8"/>
      <c r="N16" s="8"/>
      <c r="O16" s="8"/>
      <c r="P16" s="8"/>
      <c r="Q16" s="8"/>
      <c r="R16" s="8"/>
      <c r="S16" s="8"/>
      <c r="T16" s="8"/>
      <c r="U16" s="8"/>
      <c r="V16" s="8"/>
      <c r="W16" s="8"/>
      <c r="X16" s="8"/>
      <c r="Y16" s="8"/>
      <c r="Z16" s="8"/>
    </row>
    <row r="17" spans="1:26" ht="120.75" customHeight="1" x14ac:dyDescent="0.3">
      <c r="A17" s="82" t="s">
        <v>603</v>
      </c>
      <c r="B17" s="83" t="s">
        <v>171</v>
      </c>
      <c r="C17" s="83" t="s">
        <v>604</v>
      </c>
      <c r="D17" s="83" t="s">
        <v>605</v>
      </c>
      <c r="E17" s="83"/>
      <c r="F17" s="84" t="s">
        <v>321</v>
      </c>
      <c r="G17" s="85"/>
      <c r="H17" s="86" t="s">
        <v>172</v>
      </c>
      <c r="I17" s="89"/>
      <c r="J17" s="8"/>
      <c r="K17" s="8"/>
      <c r="L17" s="8"/>
      <c r="M17" s="8"/>
      <c r="N17" s="8"/>
      <c r="O17" s="8"/>
      <c r="P17" s="8"/>
      <c r="Q17" s="8"/>
      <c r="R17" s="8"/>
      <c r="S17" s="8"/>
      <c r="T17" s="8"/>
      <c r="U17" s="8"/>
      <c r="V17" s="8"/>
      <c r="W17" s="8"/>
      <c r="X17" s="8"/>
      <c r="Y17" s="8"/>
      <c r="Z17" s="8"/>
    </row>
    <row r="18" spans="1:26" ht="108" customHeight="1" x14ac:dyDescent="0.3">
      <c r="A18" s="82" t="s">
        <v>606</v>
      </c>
      <c r="B18" s="83" t="s">
        <v>173</v>
      </c>
      <c r="C18" s="83" t="s">
        <v>607</v>
      </c>
      <c r="D18" s="83" t="s">
        <v>608</v>
      </c>
      <c r="E18" s="83"/>
      <c r="F18" s="84" t="s">
        <v>321</v>
      </c>
      <c r="G18" s="85"/>
      <c r="H18" s="86" t="s">
        <v>172</v>
      </c>
      <c r="I18" s="89"/>
      <c r="J18" s="8"/>
      <c r="K18" s="8"/>
      <c r="L18" s="8"/>
      <c r="M18" s="8"/>
      <c r="N18" s="8"/>
      <c r="O18" s="8"/>
      <c r="P18" s="8"/>
      <c r="Q18" s="8"/>
      <c r="R18" s="8"/>
      <c r="S18" s="8"/>
      <c r="T18" s="8"/>
      <c r="U18" s="8"/>
      <c r="V18" s="8"/>
      <c r="W18" s="8"/>
      <c r="X18" s="8"/>
      <c r="Y18" s="8"/>
      <c r="Z18" s="8"/>
    </row>
    <row r="19" spans="1:26" ht="120.75" customHeight="1" x14ac:dyDescent="0.3">
      <c r="A19" s="82" t="s">
        <v>609</v>
      </c>
      <c r="B19" s="83" t="s">
        <v>174</v>
      </c>
      <c r="C19" s="83" t="s">
        <v>610</v>
      </c>
      <c r="D19" s="83" t="s">
        <v>611</v>
      </c>
      <c r="E19" s="83"/>
      <c r="F19" s="84" t="s">
        <v>321</v>
      </c>
      <c r="G19" s="85"/>
      <c r="H19" s="86"/>
      <c r="I19" s="89"/>
      <c r="J19" s="8"/>
      <c r="K19" s="8"/>
      <c r="L19" s="8"/>
      <c r="M19" s="8"/>
      <c r="N19" s="8"/>
      <c r="O19" s="8"/>
      <c r="P19" s="8"/>
      <c r="Q19" s="8"/>
      <c r="R19" s="8"/>
      <c r="S19" s="8"/>
      <c r="T19" s="8"/>
      <c r="U19" s="8"/>
      <c r="V19" s="8"/>
      <c r="W19" s="8"/>
      <c r="X19" s="8"/>
      <c r="Y19" s="8"/>
      <c r="Z19" s="8"/>
    </row>
    <row r="20" spans="1:26" ht="120.75" customHeight="1" x14ac:dyDescent="0.3">
      <c r="A20" s="82" t="s">
        <v>612</v>
      </c>
      <c r="B20" s="83" t="s">
        <v>176</v>
      </c>
      <c r="C20" s="83" t="s">
        <v>613</v>
      </c>
      <c r="D20" s="83" t="s">
        <v>614</v>
      </c>
      <c r="E20" s="83"/>
      <c r="F20" s="84" t="s">
        <v>321</v>
      </c>
      <c r="G20" s="85"/>
      <c r="H20" s="86" t="s">
        <v>172</v>
      </c>
      <c r="I20" s="89"/>
      <c r="J20" s="8"/>
      <c r="K20" s="8"/>
      <c r="L20" s="8"/>
      <c r="M20" s="8"/>
      <c r="N20" s="8"/>
      <c r="O20" s="8"/>
      <c r="P20" s="8"/>
      <c r="Q20" s="8"/>
      <c r="R20" s="8"/>
      <c r="S20" s="8"/>
      <c r="T20" s="8"/>
      <c r="U20" s="8"/>
      <c r="V20" s="8"/>
      <c r="W20" s="8"/>
      <c r="X20" s="8"/>
      <c r="Y20" s="8"/>
      <c r="Z20" s="8"/>
    </row>
    <row r="21" spans="1:26" ht="120.75" customHeight="1" x14ac:dyDescent="0.3">
      <c r="A21" s="82" t="s">
        <v>615</v>
      </c>
      <c r="B21" s="83" t="s">
        <v>177</v>
      </c>
      <c r="C21" s="83" t="s">
        <v>616</v>
      </c>
      <c r="D21" s="83" t="s">
        <v>617</v>
      </c>
      <c r="E21" s="83"/>
      <c r="F21" s="84" t="s">
        <v>321</v>
      </c>
      <c r="G21" s="85"/>
      <c r="H21" s="86" t="s">
        <v>178</v>
      </c>
      <c r="I21" s="89"/>
      <c r="J21" s="8"/>
      <c r="K21" s="8"/>
      <c r="L21" s="8"/>
      <c r="M21" s="8"/>
      <c r="N21" s="8"/>
      <c r="O21" s="8"/>
      <c r="P21" s="8"/>
      <c r="Q21" s="8"/>
      <c r="R21" s="8"/>
      <c r="S21" s="8"/>
      <c r="T21" s="8"/>
      <c r="U21" s="8"/>
      <c r="V21" s="8"/>
      <c r="W21" s="8"/>
      <c r="X21" s="8"/>
      <c r="Y21" s="8"/>
      <c r="Z21" s="8"/>
    </row>
    <row r="22" spans="1:26" ht="120.75" customHeight="1" x14ac:dyDescent="0.3">
      <c r="A22" s="82" t="s">
        <v>618</v>
      </c>
      <c r="B22" s="83" t="s">
        <v>179</v>
      </c>
      <c r="C22" s="83" t="s">
        <v>619</v>
      </c>
      <c r="D22" s="83" t="s">
        <v>620</v>
      </c>
      <c r="E22" s="83"/>
      <c r="F22" s="84" t="s">
        <v>321</v>
      </c>
      <c r="G22" s="85"/>
      <c r="H22" s="86" t="s">
        <v>180</v>
      </c>
      <c r="I22" s="89"/>
      <c r="J22" s="8"/>
      <c r="K22" s="8"/>
      <c r="L22" s="8"/>
      <c r="M22" s="8"/>
      <c r="N22" s="8"/>
      <c r="O22" s="8"/>
      <c r="P22" s="8"/>
      <c r="Q22" s="8"/>
      <c r="R22" s="8"/>
      <c r="S22" s="8"/>
      <c r="T22" s="8"/>
      <c r="U22" s="8"/>
      <c r="V22" s="8"/>
      <c r="W22" s="8"/>
      <c r="X22" s="8"/>
      <c r="Y22" s="8"/>
      <c r="Z22" s="8"/>
    </row>
    <row r="23" spans="1:26" ht="159" customHeight="1" x14ac:dyDescent="0.3">
      <c r="A23" s="82" t="s">
        <v>621</v>
      </c>
      <c r="B23" s="83" t="s">
        <v>181</v>
      </c>
      <c r="C23" s="83" t="s">
        <v>622</v>
      </c>
      <c r="D23" s="83" t="s">
        <v>623</v>
      </c>
      <c r="E23" s="83"/>
      <c r="F23" s="84" t="s">
        <v>321</v>
      </c>
      <c r="G23" s="85"/>
      <c r="H23" s="86" t="s">
        <v>172</v>
      </c>
      <c r="I23" s="89"/>
      <c r="J23" s="8"/>
      <c r="K23" s="8"/>
      <c r="L23" s="8"/>
      <c r="M23" s="8"/>
      <c r="N23" s="8"/>
      <c r="O23" s="8"/>
      <c r="P23" s="8"/>
      <c r="Q23" s="8"/>
      <c r="R23" s="8"/>
      <c r="S23" s="8"/>
      <c r="T23" s="8"/>
      <c r="U23" s="8"/>
      <c r="V23" s="8"/>
      <c r="W23" s="8"/>
      <c r="X23" s="8"/>
      <c r="Y23" s="8"/>
      <c r="Z23" s="8"/>
    </row>
    <row r="24" spans="1:26" ht="120.75" customHeight="1" x14ac:dyDescent="0.3">
      <c r="A24" s="82" t="s">
        <v>624</v>
      </c>
      <c r="B24" s="83" t="s">
        <v>182</v>
      </c>
      <c r="C24" s="83" t="s">
        <v>625</v>
      </c>
      <c r="D24" s="83" t="s">
        <v>620</v>
      </c>
      <c r="E24" s="83"/>
      <c r="F24" s="84" t="s">
        <v>321</v>
      </c>
      <c r="G24" s="85"/>
      <c r="H24" s="86"/>
      <c r="I24" s="89"/>
      <c r="J24" s="8"/>
      <c r="K24" s="8"/>
      <c r="L24" s="8"/>
      <c r="M24" s="8"/>
      <c r="N24" s="8"/>
      <c r="O24" s="8"/>
      <c r="P24" s="8"/>
      <c r="Q24" s="8"/>
      <c r="R24" s="8"/>
      <c r="S24" s="8"/>
      <c r="T24" s="8"/>
      <c r="U24" s="8"/>
      <c r="V24" s="8"/>
      <c r="W24" s="8"/>
      <c r="X24" s="8"/>
      <c r="Y24" s="8"/>
      <c r="Z24" s="8"/>
    </row>
    <row r="25" spans="1:26" ht="108" customHeight="1" x14ac:dyDescent="0.3">
      <c r="A25" s="82" t="s">
        <v>626</v>
      </c>
      <c r="B25" s="83" t="s">
        <v>183</v>
      </c>
      <c r="C25" s="83" t="s">
        <v>627</v>
      </c>
      <c r="D25" s="83" t="s">
        <v>628</v>
      </c>
      <c r="E25" s="83"/>
      <c r="F25" s="84" t="s">
        <v>321</v>
      </c>
      <c r="G25" s="85"/>
      <c r="H25" s="86" t="s">
        <v>184</v>
      </c>
      <c r="I25" s="89"/>
      <c r="J25" s="8"/>
      <c r="K25" s="8"/>
      <c r="L25" s="8"/>
      <c r="M25" s="8"/>
      <c r="N25" s="8"/>
      <c r="O25" s="8"/>
      <c r="P25" s="8"/>
      <c r="Q25" s="8"/>
      <c r="R25" s="8"/>
      <c r="S25" s="8"/>
      <c r="T25" s="8"/>
      <c r="U25" s="8"/>
      <c r="V25" s="8"/>
      <c r="W25" s="8"/>
      <c r="X25" s="8"/>
      <c r="Y25" s="8"/>
      <c r="Z25" s="8"/>
    </row>
    <row r="26" spans="1:26" ht="120.75" customHeight="1" x14ac:dyDescent="0.3">
      <c r="A26" s="82" t="s">
        <v>629</v>
      </c>
      <c r="B26" s="83" t="s">
        <v>185</v>
      </c>
      <c r="C26" s="83" t="s">
        <v>630</v>
      </c>
      <c r="D26" s="83" t="s">
        <v>631</v>
      </c>
      <c r="E26" s="83"/>
      <c r="F26" s="84" t="s">
        <v>321</v>
      </c>
      <c r="G26" s="85"/>
      <c r="H26" s="86" t="s">
        <v>172</v>
      </c>
      <c r="I26" s="89"/>
      <c r="J26" s="8"/>
      <c r="K26" s="8"/>
      <c r="L26" s="8"/>
      <c r="M26" s="8"/>
      <c r="N26" s="8"/>
      <c r="O26" s="8"/>
      <c r="P26" s="8"/>
      <c r="Q26" s="8"/>
      <c r="R26" s="8"/>
      <c r="S26" s="8"/>
      <c r="T26" s="8"/>
      <c r="U26" s="8"/>
      <c r="V26" s="8"/>
      <c r="W26" s="8"/>
      <c r="X26" s="8"/>
      <c r="Y26" s="8"/>
      <c r="Z26" s="8"/>
    </row>
    <row r="27" spans="1:26" ht="120.75" customHeight="1" x14ac:dyDescent="0.3">
      <c r="A27" s="82" t="s">
        <v>632</v>
      </c>
      <c r="B27" s="83" t="s">
        <v>186</v>
      </c>
      <c r="C27" s="83" t="s">
        <v>633</v>
      </c>
      <c r="D27" s="83" t="s">
        <v>634</v>
      </c>
      <c r="E27" s="83"/>
      <c r="F27" s="84" t="s">
        <v>323</v>
      </c>
      <c r="G27" s="85"/>
      <c r="H27" s="86" t="s">
        <v>172</v>
      </c>
      <c r="I27" s="89"/>
      <c r="J27" s="8"/>
      <c r="K27" s="8"/>
      <c r="L27" s="8"/>
      <c r="M27" s="8"/>
      <c r="N27" s="8"/>
      <c r="O27" s="8"/>
      <c r="P27" s="8"/>
      <c r="Q27" s="8"/>
      <c r="R27" s="8"/>
      <c r="S27" s="8"/>
      <c r="T27" s="8"/>
      <c r="U27" s="8"/>
      <c r="V27" s="8"/>
      <c r="W27" s="8"/>
      <c r="X27" s="8"/>
      <c r="Y27" s="8"/>
      <c r="Z27" s="8"/>
    </row>
    <row r="28" spans="1:26" ht="120.75" customHeight="1" x14ac:dyDescent="0.3">
      <c r="A28" s="82" t="s">
        <v>635</v>
      </c>
      <c r="B28" s="83" t="s">
        <v>187</v>
      </c>
      <c r="C28" s="83" t="s">
        <v>636</v>
      </c>
      <c r="D28" s="83" t="s">
        <v>637</v>
      </c>
      <c r="E28" s="83"/>
      <c r="F28" s="84" t="s">
        <v>323</v>
      </c>
      <c r="G28" s="85"/>
      <c r="H28" s="86" t="s">
        <v>172</v>
      </c>
      <c r="I28" s="89"/>
      <c r="J28" s="8"/>
      <c r="K28" s="8"/>
      <c r="L28" s="8"/>
      <c r="M28" s="8"/>
      <c r="N28" s="8"/>
      <c r="O28" s="8"/>
      <c r="P28" s="8"/>
      <c r="Q28" s="8"/>
      <c r="R28" s="8"/>
      <c r="S28" s="8"/>
      <c r="T28" s="8"/>
      <c r="U28" s="8"/>
      <c r="V28" s="8"/>
      <c r="W28" s="8"/>
      <c r="X28" s="8"/>
      <c r="Y28" s="8"/>
      <c r="Z28" s="8"/>
    </row>
    <row r="29" spans="1:26" ht="120.75" customHeight="1" x14ac:dyDescent="0.3">
      <c r="A29" s="82" t="s">
        <v>638</v>
      </c>
      <c r="B29" s="83" t="s">
        <v>188</v>
      </c>
      <c r="C29" s="83" t="s">
        <v>639</v>
      </c>
      <c r="D29" s="83" t="s">
        <v>640</v>
      </c>
      <c r="E29" s="83"/>
      <c r="F29" s="84" t="s">
        <v>323</v>
      </c>
      <c r="G29" s="85"/>
      <c r="H29" s="86" t="s">
        <v>172</v>
      </c>
      <c r="I29" s="89"/>
      <c r="J29" s="8"/>
      <c r="K29" s="8"/>
      <c r="L29" s="8"/>
      <c r="M29" s="8"/>
      <c r="N29" s="8"/>
      <c r="O29" s="8"/>
      <c r="P29" s="8"/>
      <c r="Q29" s="8"/>
      <c r="R29" s="8"/>
      <c r="S29" s="8"/>
      <c r="T29" s="8"/>
      <c r="U29" s="8"/>
      <c r="V29" s="8"/>
      <c r="W29" s="8"/>
      <c r="X29" s="8"/>
      <c r="Y29" s="8"/>
      <c r="Z29" s="8"/>
    </row>
    <row r="30" spans="1:26" ht="120.75" customHeight="1" x14ac:dyDescent="0.3">
      <c r="A30" s="82" t="s">
        <v>641</v>
      </c>
      <c r="B30" s="83" t="s">
        <v>189</v>
      </c>
      <c r="C30" s="83" t="s">
        <v>642</v>
      </c>
      <c r="D30" s="83" t="s">
        <v>643</v>
      </c>
      <c r="E30" s="83"/>
      <c r="F30" s="84" t="s">
        <v>321</v>
      </c>
      <c r="G30" s="85"/>
      <c r="H30" s="86" t="s">
        <v>190</v>
      </c>
      <c r="I30" s="89"/>
      <c r="J30" s="8"/>
      <c r="K30" s="8"/>
      <c r="L30" s="8"/>
      <c r="M30" s="8"/>
      <c r="N30" s="8"/>
      <c r="O30" s="8"/>
      <c r="P30" s="8"/>
      <c r="Q30" s="8"/>
      <c r="R30" s="8"/>
      <c r="S30" s="8"/>
      <c r="T30" s="8"/>
      <c r="U30" s="8"/>
      <c r="V30" s="8"/>
      <c r="W30" s="8"/>
      <c r="X30" s="8"/>
      <c r="Y30" s="8"/>
      <c r="Z30" s="8"/>
    </row>
    <row r="31" spans="1:26" ht="120.75" customHeight="1" x14ac:dyDescent="0.3">
      <c r="A31" s="82" t="s">
        <v>644</v>
      </c>
      <c r="B31" s="83" t="s">
        <v>191</v>
      </c>
      <c r="C31" s="83" t="s">
        <v>645</v>
      </c>
      <c r="D31" s="83" t="s">
        <v>646</v>
      </c>
      <c r="E31" s="83"/>
      <c r="F31" s="84" t="s">
        <v>321</v>
      </c>
      <c r="G31" s="85"/>
      <c r="H31" s="86" t="s">
        <v>192</v>
      </c>
      <c r="I31" s="89"/>
      <c r="J31" s="8"/>
      <c r="K31" s="8"/>
      <c r="L31" s="8"/>
      <c r="M31" s="8"/>
      <c r="N31" s="8"/>
      <c r="O31" s="8"/>
      <c r="P31" s="8"/>
      <c r="Q31" s="8"/>
      <c r="R31" s="8"/>
      <c r="S31" s="8"/>
      <c r="T31" s="8"/>
      <c r="U31" s="8"/>
      <c r="V31" s="8"/>
      <c r="W31" s="8"/>
      <c r="X31" s="8"/>
      <c r="Y31" s="8"/>
      <c r="Z31" s="8"/>
    </row>
    <row r="32" spans="1:26" ht="120.75" customHeight="1" x14ac:dyDescent="0.3">
      <c r="A32" s="82" t="s">
        <v>647</v>
      </c>
      <c r="B32" s="83" t="s">
        <v>193</v>
      </c>
      <c r="C32" s="83" t="s">
        <v>648</v>
      </c>
      <c r="D32" s="83" t="s">
        <v>649</v>
      </c>
      <c r="E32" s="83"/>
      <c r="F32" s="84" t="s">
        <v>321</v>
      </c>
      <c r="G32" s="85"/>
      <c r="H32" s="86" t="s">
        <v>172</v>
      </c>
      <c r="I32" s="89"/>
      <c r="J32" s="8"/>
      <c r="K32" s="8"/>
      <c r="L32" s="8"/>
      <c r="M32" s="8"/>
      <c r="N32" s="8"/>
      <c r="O32" s="8"/>
      <c r="P32" s="8"/>
      <c r="Q32" s="8"/>
      <c r="R32" s="8"/>
      <c r="S32" s="8"/>
      <c r="T32" s="8"/>
      <c r="U32" s="8"/>
      <c r="V32" s="8"/>
      <c r="W32" s="8"/>
      <c r="X32" s="8"/>
      <c r="Y32" s="8"/>
      <c r="Z32" s="8"/>
    </row>
    <row r="33" spans="1:26" ht="120.75" customHeight="1" x14ac:dyDescent="0.3">
      <c r="A33" s="82" t="s">
        <v>650</v>
      </c>
      <c r="B33" s="83" t="s">
        <v>194</v>
      </c>
      <c r="C33" s="83" t="s">
        <v>651</v>
      </c>
      <c r="D33" s="83" t="s">
        <v>652</v>
      </c>
      <c r="E33" s="83"/>
      <c r="F33" s="84" t="s">
        <v>321</v>
      </c>
      <c r="G33" s="85"/>
      <c r="H33" s="86" t="s">
        <v>195</v>
      </c>
      <c r="I33" s="89"/>
      <c r="J33" s="8"/>
      <c r="K33" s="8"/>
      <c r="L33" s="8"/>
      <c r="M33" s="8"/>
      <c r="N33" s="8"/>
      <c r="O33" s="8"/>
      <c r="P33" s="8"/>
      <c r="Q33" s="8"/>
      <c r="R33" s="8"/>
      <c r="S33" s="8"/>
      <c r="T33" s="8"/>
      <c r="U33" s="8"/>
      <c r="V33" s="8"/>
      <c r="W33" s="8"/>
      <c r="X33" s="8"/>
      <c r="Y33" s="8"/>
      <c r="Z33" s="8"/>
    </row>
    <row r="34" spans="1:26" ht="120.75" customHeight="1" x14ac:dyDescent="0.3">
      <c r="A34" s="82" t="s">
        <v>653</v>
      </c>
      <c r="B34" s="83" t="s">
        <v>196</v>
      </c>
      <c r="C34" s="83" t="s">
        <v>654</v>
      </c>
      <c r="D34" s="83" t="s">
        <v>655</v>
      </c>
      <c r="E34" s="83"/>
      <c r="F34" s="84" t="s">
        <v>321</v>
      </c>
      <c r="G34" s="85"/>
      <c r="H34" s="86" t="s">
        <v>197</v>
      </c>
      <c r="I34" s="89"/>
      <c r="J34" s="8"/>
      <c r="K34" s="8"/>
      <c r="L34" s="8"/>
      <c r="M34" s="8"/>
      <c r="N34" s="8"/>
      <c r="O34" s="8"/>
      <c r="P34" s="8"/>
      <c r="Q34" s="8"/>
      <c r="R34" s="8"/>
      <c r="S34" s="8"/>
      <c r="T34" s="8"/>
      <c r="U34" s="8"/>
      <c r="V34" s="8"/>
      <c r="W34" s="8"/>
      <c r="X34" s="8"/>
      <c r="Y34" s="8"/>
      <c r="Z34" s="8"/>
    </row>
    <row r="35" spans="1:26" ht="133.5" customHeight="1" x14ac:dyDescent="0.3">
      <c r="A35" s="82" t="s">
        <v>656</v>
      </c>
      <c r="B35" s="83" t="s">
        <v>198</v>
      </c>
      <c r="C35" s="83" t="s">
        <v>657</v>
      </c>
      <c r="D35" s="83" t="s">
        <v>658</v>
      </c>
      <c r="E35" s="83"/>
      <c r="F35" s="84" t="s">
        <v>323</v>
      </c>
      <c r="G35" s="85"/>
      <c r="H35" s="86" t="s">
        <v>172</v>
      </c>
      <c r="I35" s="89"/>
      <c r="J35" s="8"/>
      <c r="K35" s="8"/>
      <c r="L35" s="8"/>
      <c r="M35" s="8"/>
      <c r="N35" s="8"/>
      <c r="O35" s="8"/>
      <c r="P35" s="8"/>
      <c r="Q35" s="8"/>
      <c r="R35" s="8"/>
      <c r="S35" s="8"/>
      <c r="T35" s="8"/>
      <c r="U35" s="8"/>
      <c r="V35" s="8"/>
      <c r="W35" s="8"/>
      <c r="X35" s="8"/>
      <c r="Y35" s="8"/>
      <c r="Z35" s="8"/>
    </row>
    <row r="36" spans="1:26" ht="133.5" customHeight="1" x14ac:dyDescent="0.3">
      <c r="A36" s="82" t="s">
        <v>659</v>
      </c>
      <c r="B36" s="83" t="s">
        <v>199</v>
      </c>
      <c r="C36" s="83" t="s">
        <v>660</v>
      </c>
      <c r="D36" s="83" t="s">
        <v>661</v>
      </c>
      <c r="E36" s="83"/>
      <c r="F36" s="84" t="s">
        <v>321</v>
      </c>
      <c r="G36" s="85"/>
      <c r="H36" s="86" t="s">
        <v>172</v>
      </c>
      <c r="I36" s="89"/>
      <c r="J36" s="8"/>
      <c r="K36" s="8"/>
      <c r="L36" s="8"/>
      <c r="M36" s="8"/>
      <c r="N36" s="8"/>
      <c r="O36" s="8"/>
      <c r="P36" s="8"/>
      <c r="Q36" s="8"/>
      <c r="R36" s="8"/>
      <c r="S36" s="8"/>
      <c r="T36" s="8"/>
      <c r="U36" s="8"/>
      <c r="V36" s="8"/>
      <c r="W36" s="8"/>
      <c r="X36" s="8"/>
      <c r="Y36" s="8"/>
      <c r="Z36" s="8"/>
    </row>
    <row r="37" spans="1:26" ht="120.75" customHeight="1" x14ac:dyDescent="0.3">
      <c r="A37" s="82" t="s">
        <v>662</v>
      </c>
      <c r="B37" s="83" t="s">
        <v>200</v>
      </c>
      <c r="C37" s="83" t="s">
        <v>663</v>
      </c>
      <c r="D37" s="83" t="s">
        <v>664</v>
      </c>
      <c r="E37" s="83"/>
      <c r="F37" s="84" t="s">
        <v>323</v>
      </c>
      <c r="G37" s="85"/>
      <c r="H37" s="86" t="s">
        <v>172</v>
      </c>
      <c r="I37" s="89"/>
      <c r="J37" s="8"/>
      <c r="K37" s="8"/>
      <c r="L37" s="8"/>
      <c r="M37" s="8"/>
      <c r="N37" s="8"/>
      <c r="O37" s="8"/>
      <c r="P37" s="8"/>
      <c r="Q37" s="8"/>
      <c r="R37" s="8"/>
      <c r="S37" s="8"/>
      <c r="T37" s="8"/>
      <c r="U37" s="8"/>
      <c r="V37" s="8"/>
      <c r="W37" s="8"/>
      <c r="X37" s="8"/>
      <c r="Y37" s="8"/>
      <c r="Z37" s="8"/>
    </row>
    <row r="38" spans="1:26" ht="120.75" customHeight="1" x14ac:dyDescent="0.3">
      <c r="A38" s="82" t="s">
        <v>665</v>
      </c>
      <c r="B38" s="83" t="s">
        <v>201</v>
      </c>
      <c r="C38" s="83" t="s">
        <v>666</v>
      </c>
      <c r="D38" s="83" t="s">
        <v>667</v>
      </c>
      <c r="E38" s="83"/>
      <c r="F38" s="84" t="s">
        <v>321</v>
      </c>
      <c r="G38" s="85"/>
      <c r="H38" s="86" t="s">
        <v>202</v>
      </c>
      <c r="I38" s="89"/>
      <c r="J38" s="8"/>
      <c r="K38" s="8"/>
      <c r="L38" s="8"/>
      <c r="M38" s="8"/>
      <c r="N38" s="8"/>
      <c r="O38" s="8"/>
      <c r="P38" s="8"/>
      <c r="Q38" s="8"/>
      <c r="R38" s="8"/>
      <c r="S38" s="8"/>
      <c r="T38" s="8"/>
      <c r="U38" s="8"/>
      <c r="V38" s="8"/>
      <c r="W38" s="8"/>
      <c r="X38" s="8"/>
      <c r="Y38" s="8"/>
      <c r="Z38" s="8"/>
    </row>
    <row r="39" spans="1:26" ht="133.5" customHeight="1" x14ac:dyDescent="0.3">
      <c r="A39" s="82" t="s">
        <v>668</v>
      </c>
      <c r="B39" s="83" t="s">
        <v>203</v>
      </c>
      <c r="C39" s="83" t="s">
        <v>669</v>
      </c>
      <c r="D39" s="83" t="s">
        <v>670</v>
      </c>
      <c r="E39" s="83"/>
      <c r="F39" s="84" t="s">
        <v>323</v>
      </c>
      <c r="G39" s="85"/>
      <c r="H39" s="86" t="s">
        <v>142</v>
      </c>
      <c r="I39" s="89"/>
      <c r="J39" s="8"/>
      <c r="K39" s="8"/>
      <c r="L39" s="8"/>
      <c r="M39" s="8"/>
      <c r="N39" s="8"/>
      <c r="O39" s="8"/>
      <c r="P39" s="8"/>
      <c r="Q39" s="8"/>
      <c r="R39" s="8"/>
      <c r="S39" s="8"/>
      <c r="T39" s="8"/>
      <c r="U39" s="8"/>
      <c r="V39" s="8"/>
      <c r="W39" s="8"/>
      <c r="X39" s="8"/>
      <c r="Y39" s="8"/>
      <c r="Z39" s="8"/>
    </row>
    <row r="40" spans="1:26" ht="133.5" customHeight="1" x14ac:dyDescent="0.3">
      <c r="A40" s="82" t="s">
        <v>671</v>
      </c>
      <c r="B40" s="83" t="s">
        <v>205</v>
      </c>
      <c r="C40" s="83" t="s">
        <v>672</v>
      </c>
      <c r="D40" s="83" t="s">
        <v>673</v>
      </c>
      <c r="E40" s="83"/>
      <c r="F40" s="84" t="s">
        <v>321</v>
      </c>
      <c r="G40" s="85"/>
      <c r="H40" s="86" t="s">
        <v>172</v>
      </c>
      <c r="I40" s="89"/>
      <c r="J40" s="8"/>
      <c r="K40" s="8"/>
      <c r="L40" s="8"/>
      <c r="M40" s="8"/>
      <c r="N40" s="8"/>
      <c r="O40" s="8"/>
      <c r="P40" s="8"/>
      <c r="Q40" s="8"/>
      <c r="R40" s="8"/>
      <c r="S40" s="8"/>
      <c r="T40" s="8"/>
      <c r="U40" s="8"/>
      <c r="V40" s="8"/>
      <c r="W40" s="8"/>
      <c r="X40" s="8"/>
      <c r="Y40" s="8"/>
      <c r="Z40" s="8"/>
    </row>
    <row r="41" spans="1:26" ht="146.25" customHeight="1" x14ac:dyDescent="0.3">
      <c r="A41" s="82" t="s">
        <v>674</v>
      </c>
      <c r="B41" s="83" t="s">
        <v>206</v>
      </c>
      <c r="C41" s="83" t="s">
        <v>675</v>
      </c>
      <c r="D41" s="83" t="s">
        <v>676</v>
      </c>
      <c r="E41" s="83"/>
      <c r="F41" s="84" t="s">
        <v>323</v>
      </c>
      <c r="G41" s="85"/>
      <c r="H41" s="86" t="s">
        <v>172</v>
      </c>
      <c r="I41" s="89"/>
      <c r="J41" s="8"/>
      <c r="K41" s="8"/>
      <c r="L41" s="8"/>
      <c r="M41" s="8"/>
      <c r="N41" s="8"/>
      <c r="O41" s="8"/>
      <c r="P41" s="8"/>
      <c r="Q41" s="8"/>
      <c r="R41" s="8"/>
      <c r="S41" s="8"/>
      <c r="T41" s="8"/>
      <c r="U41" s="8"/>
      <c r="V41" s="8"/>
      <c r="W41" s="8"/>
      <c r="X41" s="8"/>
      <c r="Y41" s="8"/>
      <c r="Z41" s="8"/>
    </row>
    <row r="42" spans="1:26" ht="120.75" customHeight="1" x14ac:dyDescent="0.3">
      <c r="A42" s="82" t="s">
        <v>677</v>
      </c>
      <c r="B42" s="83" t="s">
        <v>208</v>
      </c>
      <c r="C42" s="83" t="s">
        <v>678</v>
      </c>
      <c r="D42" s="83" t="s">
        <v>679</v>
      </c>
      <c r="E42" s="83"/>
      <c r="F42" s="84" t="s">
        <v>321</v>
      </c>
      <c r="G42" s="85"/>
      <c r="H42" s="86" t="s">
        <v>209</v>
      </c>
      <c r="I42" s="89"/>
      <c r="J42" s="8"/>
      <c r="K42" s="8"/>
      <c r="L42" s="8"/>
      <c r="M42" s="8"/>
      <c r="N42" s="8"/>
      <c r="O42" s="8"/>
      <c r="P42" s="8"/>
      <c r="Q42" s="8"/>
      <c r="R42" s="8"/>
      <c r="S42" s="8"/>
      <c r="T42" s="8"/>
      <c r="U42" s="8"/>
      <c r="V42" s="8"/>
      <c r="W42" s="8"/>
      <c r="X42" s="8"/>
      <c r="Y42" s="8"/>
      <c r="Z42" s="8"/>
    </row>
    <row r="43" spans="1:26" ht="120.75" customHeight="1" x14ac:dyDescent="0.3">
      <c r="A43" s="82" t="s">
        <v>680</v>
      </c>
      <c r="B43" s="83" t="s">
        <v>210</v>
      </c>
      <c r="C43" s="83" t="s">
        <v>681</v>
      </c>
      <c r="D43" s="83" t="s">
        <v>682</v>
      </c>
      <c r="E43" s="83"/>
      <c r="F43" s="84" t="s">
        <v>321</v>
      </c>
      <c r="G43" s="85"/>
      <c r="H43" s="86" t="s">
        <v>172</v>
      </c>
      <c r="I43" s="89"/>
      <c r="J43" s="8"/>
      <c r="K43" s="8"/>
      <c r="L43" s="8"/>
      <c r="M43" s="8"/>
      <c r="N43" s="8"/>
      <c r="O43" s="8"/>
      <c r="P43" s="8"/>
      <c r="Q43" s="8"/>
      <c r="R43" s="8"/>
      <c r="S43" s="8"/>
      <c r="T43" s="8"/>
      <c r="U43" s="8"/>
      <c r="V43" s="8"/>
      <c r="W43" s="8"/>
      <c r="X43" s="8"/>
      <c r="Y43" s="8"/>
      <c r="Z43" s="8"/>
    </row>
    <row r="44" spans="1:26" ht="120.75" customHeight="1" x14ac:dyDescent="0.3">
      <c r="A44" s="82" t="s">
        <v>683</v>
      </c>
      <c r="B44" s="83" t="s">
        <v>211</v>
      </c>
      <c r="C44" s="83" t="s">
        <v>684</v>
      </c>
      <c r="D44" s="83" t="s">
        <v>685</v>
      </c>
      <c r="E44" s="83"/>
      <c r="F44" s="84" t="s">
        <v>321</v>
      </c>
      <c r="G44" s="85"/>
      <c r="H44" s="86" t="s">
        <v>172</v>
      </c>
      <c r="I44" s="89"/>
      <c r="J44" s="8"/>
      <c r="K44" s="8"/>
      <c r="L44" s="8"/>
      <c r="M44" s="8"/>
      <c r="N44" s="8"/>
      <c r="O44" s="8"/>
      <c r="P44" s="8"/>
      <c r="Q44" s="8"/>
      <c r="R44" s="8"/>
      <c r="S44" s="8"/>
      <c r="T44" s="8"/>
      <c r="U44" s="8"/>
      <c r="V44" s="8"/>
      <c r="W44" s="8"/>
      <c r="X44" s="8"/>
      <c r="Y44" s="8"/>
      <c r="Z44" s="8"/>
    </row>
    <row r="45" spans="1:26" ht="120.75" customHeight="1" x14ac:dyDescent="0.3">
      <c r="A45" s="82" t="s">
        <v>686</v>
      </c>
      <c r="B45" s="83" t="s">
        <v>212</v>
      </c>
      <c r="C45" s="83" t="s">
        <v>687</v>
      </c>
      <c r="D45" s="83" t="s">
        <v>688</v>
      </c>
      <c r="E45" s="83"/>
      <c r="F45" s="84" t="s">
        <v>321</v>
      </c>
      <c r="G45" s="85"/>
      <c r="H45" s="86" t="s">
        <v>213</v>
      </c>
      <c r="I45" s="89"/>
      <c r="J45" s="8"/>
      <c r="K45" s="8"/>
      <c r="L45" s="8"/>
      <c r="M45" s="8"/>
      <c r="N45" s="8"/>
      <c r="O45" s="8"/>
      <c r="P45" s="8"/>
      <c r="Q45" s="8"/>
      <c r="R45" s="8"/>
      <c r="S45" s="8"/>
      <c r="T45" s="8"/>
      <c r="U45" s="8"/>
      <c r="V45" s="8"/>
      <c r="W45" s="8"/>
      <c r="X45" s="8"/>
      <c r="Y45" s="8"/>
      <c r="Z45" s="8"/>
    </row>
    <row r="46" spans="1:26" ht="108" customHeight="1" x14ac:dyDescent="0.3">
      <c r="A46" s="82" t="s">
        <v>689</v>
      </c>
      <c r="B46" s="83" t="s">
        <v>215</v>
      </c>
      <c r="C46" s="83" t="s">
        <v>690</v>
      </c>
      <c r="D46" s="83" t="s">
        <v>691</v>
      </c>
      <c r="E46" s="83"/>
      <c r="F46" s="84" t="s">
        <v>321</v>
      </c>
      <c r="G46" s="85"/>
      <c r="H46" s="86"/>
      <c r="I46" s="89"/>
      <c r="J46" s="8"/>
      <c r="K46" s="8"/>
      <c r="L46" s="8"/>
      <c r="M46" s="8"/>
      <c r="N46" s="8"/>
      <c r="O46" s="8"/>
      <c r="P46" s="8"/>
      <c r="Q46" s="8"/>
      <c r="R46" s="8"/>
      <c r="S46" s="8"/>
      <c r="T46" s="8"/>
      <c r="U46" s="8"/>
      <c r="V46" s="8"/>
      <c r="W46" s="8"/>
      <c r="X46" s="8"/>
      <c r="Y46" s="8"/>
      <c r="Z46" s="8"/>
    </row>
    <row r="47" spans="1:26" ht="133.5" customHeight="1" x14ac:dyDescent="0.3">
      <c r="A47" s="82" t="s">
        <v>692</v>
      </c>
      <c r="B47" s="83" t="s">
        <v>216</v>
      </c>
      <c r="C47" s="83" t="s">
        <v>693</v>
      </c>
      <c r="D47" s="83" t="s">
        <v>694</v>
      </c>
      <c r="E47" s="83"/>
      <c r="F47" s="84" t="s">
        <v>321</v>
      </c>
      <c r="G47" s="85"/>
      <c r="H47" s="86" t="s">
        <v>172</v>
      </c>
      <c r="I47" s="89"/>
      <c r="J47" s="8"/>
      <c r="K47" s="8"/>
      <c r="L47" s="8"/>
      <c r="M47" s="8"/>
      <c r="N47" s="8"/>
      <c r="O47" s="8"/>
      <c r="P47" s="8"/>
      <c r="Q47" s="8"/>
      <c r="R47" s="8"/>
      <c r="S47" s="8"/>
      <c r="T47" s="8"/>
      <c r="U47" s="8"/>
      <c r="V47" s="8"/>
      <c r="W47" s="8"/>
      <c r="X47" s="8"/>
      <c r="Y47" s="8"/>
      <c r="Z47" s="8"/>
    </row>
    <row r="48" spans="1:26" ht="120.75" customHeight="1" x14ac:dyDescent="0.3">
      <c r="A48" s="82" t="s">
        <v>695</v>
      </c>
      <c r="B48" s="83" t="s">
        <v>217</v>
      </c>
      <c r="C48" s="83" t="s">
        <v>696</v>
      </c>
      <c r="D48" s="83" t="s">
        <v>697</v>
      </c>
      <c r="E48" s="83"/>
      <c r="F48" s="84" t="s">
        <v>321</v>
      </c>
      <c r="G48" s="85"/>
      <c r="H48" s="86"/>
      <c r="I48" s="89"/>
      <c r="J48" s="8"/>
      <c r="K48" s="8"/>
      <c r="L48" s="8"/>
      <c r="M48" s="8"/>
      <c r="N48" s="8"/>
      <c r="O48" s="8"/>
      <c r="P48" s="8"/>
      <c r="Q48" s="8"/>
      <c r="R48" s="8"/>
      <c r="S48" s="8"/>
      <c r="T48" s="8"/>
      <c r="U48" s="8"/>
      <c r="V48" s="8"/>
      <c r="W48" s="8"/>
      <c r="X48" s="8"/>
      <c r="Y48" s="8"/>
      <c r="Z48" s="8"/>
    </row>
    <row r="49" spans="1:26" ht="120.75" customHeight="1" x14ac:dyDescent="0.3">
      <c r="A49" s="82" t="s">
        <v>698</v>
      </c>
      <c r="B49" s="83" t="s">
        <v>218</v>
      </c>
      <c r="C49" s="83" t="s">
        <v>699</v>
      </c>
      <c r="D49" s="83" t="s">
        <v>700</v>
      </c>
      <c r="E49" s="83"/>
      <c r="F49" s="84" t="s">
        <v>321</v>
      </c>
      <c r="G49" s="85"/>
      <c r="H49" s="86" t="s">
        <v>219</v>
      </c>
      <c r="I49" s="89"/>
      <c r="J49" s="8"/>
      <c r="K49" s="8"/>
      <c r="L49" s="8"/>
      <c r="M49" s="8"/>
      <c r="N49" s="8"/>
      <c r="O49" s="8"/>
      <c r="P49" s="8"/>
      <c r="Q49" s="8"/>
      <c r="R49" s="8"/>
      <c r="S49" s="8"/>
      <c r="T49" s="8"/>
      <c r="U49" s="8"/>
      <c r="V49" s="8"/>
      <c r="W49" s="8"/>
      <c r="X49" s="8"/>
      <c r="Y49" s="8"/>
      <c r="Z49" s="8"/>
    </row>
    <row r="50" spans="1:26" ht="120.75" customHeight="1" x14ac:dyDescent="0.3">
      <c r="A50" s="82" t="s">
        <v>701</v>
      </c>
      <c r="B50" s="83" t="s">
        <v>220</v>
      </c>
      <c r="C50" s="83" t="s">
        <v>702</v>
      </c>
      <c r="D50" s="83" t="s">
        <v>703</v>
      </c>
      <c r="E50" s="83"/>
      <c r="F50" s="84" t="s">
        <v>323</v>
      </c>
      <c r="G50" s="85"/>
      <c r="H50" s="86" t="s">
        <v>221</v>
      </c>
      <c r="I50" s="89"/>
      <c r="J50" s="8"/>
      <c r="K50" s="8"/>
      <c r="L50" s="8"/>
      <c r="M50" s="8"/>
      <c r="N50" s="8"/>
      <c r="O50" s="8"/>
      <c r="P50" s="8"/>
      <c r="Q50" s="8"/>
      <c r="R50" s="8"/>
      <c r="S50" s="8"/>
      <c r="T50" s="8"/>
      <c r="U50" s="8"/>
      <c r="V50" s="8"/>
      <c r="W50" s="8"/>
      <c r="X50" s="8"/>
      <c r="Y50" s="8"/>
      <c r="Z50" s="8"/>
    </row>
    <row r="51" spans="1:26" ht="120.75" customHeight="1" x14ac:dyDescent="0.3">
      <c r="A51" s="82" t="s">
        <v>704</v>
      </c>
      <c r="B51" s="83" t="s">
        <v>222</v>
      </c>
      <c r="C51" s="83" t="s">
        <v>705</v>
      </c>
      <c r="D51" s="83" t="s">
        <v>706</v>
      </c>
      <c r="E51" s="83"/>
      <c r="F51" s="84" t="s">
        <v>321</v>
      </c>
      <c r="G51" s="85"/>
      <c r="H51" s="86"/>
      <c r="I51" s="89"/>
      <c r="J51" s="8"/>
      <c r="K51" s="8"/>
      <c r="L51" s="8"/>
      <c r="M51" s="8"/>
      <c r="N51" s="8"/>
      <c r="O51" s="8"/>
      <c r="P51" s="8"/>
      <c r="Q51" s="8"/>
      <c r="R51" s="8"/>
      <c r="S51" s="8"/>
      <c r="T51" s="8"/>
      <c r="U51" s="8"/>
      <c r="V51" s="8"/>
      <c r="W51" s="8"/>
      <c r="X51" s="8"/>
      <c r="Y51" s="8"/>
      <c r="Z51" s="8"/>
    </row>
    <row r="52" spans="1:26" ht="120.75" customHeight="1" x14ac:dyDescent="0.3">
      <c r="A52" s="82" t="s">
        <v>707</v>
      </c>
      <c r="B52" s="83" t="s">
        <v>223</v>
      </c>
      <c r="C52" s="83" t="s">
        <v>708</v>
      </c>
      <c r="D52" s="83" t="s">
        <v>709</v>
      </c>
      <c r="E52" s="83"/>
      <c r="F52" s="84" t="s">
        <v>323</v>
      </c>
      <c r="G52" s="85"/>
      <c r="H52" s="86"/>
      <c r="I52" s="89"/>
      <c r="J52" s="8"/>
      <c r="K52" s="8"/>
      <c r="L52" s="8"/>
      <c r="M52" s="8"/>
      <c r="N52" s="8"/>
      <c r="O52" s="8"/>
      <c r="P52" s="8"/>
      <c r="Q52" s="8"/>
      <c r="R52" s="8"/>
      <c r="S52" s="8"/>
      <c r="T52" s="8"/>
      <c r="U52" s="8"/>
      <c r="V52" s="8"/>
      <c r="W52" s="8"/>
      <c r="X52" s="8"/>
      <c r="Y52" s="8"/>
      <c r="Z52" s="8"/>
    </row>
    <row r="53" spans="1:26" ht="120.75" customHeight="1" x14ac:dyDescent="0.3">
      <c r="A53" s="82" t="s">
        <v>710</v>
      </c>
      <c r="B53" s="83" t="s">
        <v>224</v>
      </c>
      <c r="C53" s="83" t="s">
        <v>711</v>
      </c>
      <c r="D53" s="83" t="s">
        <v>712</v>
      </c>
      <c r="E53" s="83"/>
      <c r="F53" s="84" t="s">
        <v>323</v>
      </c>
      <c r="G53" s="85"/>
      <c r="H53" s="86"/>
      <c r="I53" s="89"/>
      <c r="J53" s="8"/>
      <c r="K53" s="8"/>
      <c r="L53" s="8"/>
      <c r="M53" s="8"/>
      <c r="N53" s="8"/>
      <c r="O53" s="8"/>
      <c r="P53" s="8"/>
      <c r="Q53" s="8"/>
      <c r="R53" s="8"/>
      <c r="S53" s="8"/>
      <c r="T53" s="8"/>
      <c r="U53" s="8"/>
      <c r="V53" s="8"/>
      <c r="W53" s="8"/>
      <c r="X53" s="8"/>
      <c r="Y53" s="8"/>
      <c r="Z53" s="8"/>
    </row>
    <row r="54" spans="1:26" ht="120.75" customHeight="1" x14ac:dyDescent="0.3">
      <c r="A54" s="82" t="s">
        <v>713</v>
      </c>
      <c r="B54" s="83" t="s">
        <v>225</v>
      </c>
      <c r="C54" s="83" t="s">
        <v>714</v>
      </c>
      <c r="D54" s="83" t="s">
        <v>715</v>
      </c>
      <c r="E54" s="83"/>
      <c r="F54" s="84" t="s">
        <v>321</v>
      </c>
      <c r="G54" s="85"/>
      <c r="H54" s="86"/>
      <c r="I54" s="89"/>
      <c r="J54" s="8"/>
      <c r="K54" s="8"/>
      <c r="L54" s="8"/>
      <c r="M54" s="8"/>
      <c r="N54" s="8"/>
      <c r="O54" s="8"/>
      <c r="P54" s="8"/>
      <c r="Q54" s="8"/>
      <c r="R54" s="8"/>
      <c r="S54" s="8"/>
      <c r="T54" s="8"/>
      <c r="U54" s="8"/>
      <c r="V54" s="8"/>
      <c r="W54" s="8"/>
      <c r="X54" s="8"/>
      <c r="Y54" s="8"/>
      <c r="Z54" s="8"/>
    </row>
    <row r="55" spans="1:26" ht="133.5" customHeight="1" x14ac:dyDescent="0.3">
      <c r="A55" s="82" t="s">
        <v>716</v>
      </c>
      <c r="B55" s="83" t="s">
        <v>226</v>
      </c>
      <c r="C55" s="83" t="s">
        <v>717</v>
      </c>
      <c r="D55" s="83" t="s">
        <v>718</v>
      </c>
      <c r="E55" s="83"/>
      <c r="F55" s="84" t="s">
        <v>321</v>
      </c>
      <c r="G55" s="85"/>
      <c r="H55" s="86" t="s">
        <v>227</v>
      </c>
      <c r="I55" s="89"/>
      <c r="J55" s="8"/>
      <c r="K55" s="8"/>
      <c r="L55" s="8"/>
      <c r="M55" s="8"/>
      <c r="N55" s="8"/>
      <c r="O55" s="8"/>
      <c r="P55" s="8"/>
      <c r="Q55" s="8"/>
      <c r="R55" s="8"/>
      <c r="S55" s="8"/>
      <c r="T55" s="8"/>
      <c r="U55" s="8"/>
      <c r="V55" s="8"/>
      <c r="W55" s="8"/>
      <c r="X55" s="8"/>
      <c r="Y55" s="8"/>
      <c r="Z55" s="8"/>
    </row>
    <row r="56" spans="1:26" ht="108" customHeight="1" x14ac:dyDescent="0.3">
      <c r="A56" s="82" t="s">
        <v>719</v>
      </c>
      <c r="B56" s="83" t="s">
        <v>228</v>
      </c>
      <c r="C56" s="83" t="s">
        <v>720</v>
      </c>
      <c r="D56" s="83" t="s">
        <v>721</v>
      </c>
      <c r="E56" s="83"/>
      <c r="F56" s="84" t="s">
        <v>321</v>
      </c>
      <c r="G56" s="85"/>
      <c r="H56" s="86"/>
      <c r="I56" s="89"/>
      <c r="J56" s="8"/>
      <c r="K56" s="8"/>
      <c r="L56" s="8"/>
      <c r="M56" s="8"/>
      <c r="N56" s="8"/>
      <c r="O56" s="8"/>
      <c r="P56" s="8"/>
      <c r="Q56" s="8"/>
      <c r="R56" s="8"/>
      <c r="S56" s="8"/>
      <c r="T56" s="8"/>
      <c r="U56" s="8"/>
      <c r="V56" s="8"/>
      <c r="W56" s="8"/>
      <c r="X56" s="8"/>
      <c r="Y56" s="8"/>
      <c r="Z56" s="8"/>
    </row>
    <row r="57" spans="1:26" ht="14.25" customHeight="1" x14ac:dyDescent="0.3">
      <c r="A57" s="8"/>
      <c r="B57" s="8"/>
      <c r="C57" s="8"/>
      <c r="D57" s="8"/>
      <c r="E57" s="8"/>
      <c r="F57" s="8"/>
      <c r="G57" s="8"/>
      <c r="H57" s="8"/>
      <c r="I57" s="89"/>
      <c r="J57" s="8"/>
      <c r="K57" s="8"/>
      <c r="L57" s="8"/>
      <c r="M57" s="8"/>
      <c r="N57" s="8"/>
      <c r="O57" s="8"/>
      <c r="P57" s="8"/>
      <c r="Q57" s="8"/>
      <c r="R57" s="8"/>
      <c r="S57" s="8"/>
      <c r="T57" s="8"/>
      <c r="U57" s="8"/>
      <c r="V57" s="8"/>
      <c r="W57" s="8"/>
      <c r="X57" s="8"/>
      <c r="Y57" s="8"/>
      <c r="Z57" s="8"/>
    </row>
    <row r="58" spans="1:26" ht="14.25" customHeight="1" x14ac:dyDescent="0.3">
      <c r="A58" s="8"/>
      <c r="B58" s="8"/>
      <c r="C58" s="8"/>
      <c r="D58" s="8"/>
      <c r="E58" s="8"/>
      <c r="F58" s="8"/>
      <c r="G58" s="8"/>
      <c r="H58" s="8"/>
      <c r="I58" s="89"/>
      <c r="J58" s="8"/>
      <c r="K58" s="8"/>
      <c r="L58" s="8"/>
      <c r="M58" s="8"/>
      <c r="N58" s="8"/>
      <c r="O58" s="8"/>
      <c r="P58" s="8"/>
      <c r="Q58" s="8"/>
      <c r="R58" s="8"/>
      <c r="S58" s="8"/>
      <c r="T58" s="8"/>
      <c r="U58" s="8"/>
      <c r="V58" s="8"/>
      <c r="W58" s="8"/>
      <c r="X58" s="8"/>
      <c r="Y58" s="8"/>
      <c r="Z58" s="8"/>
    </row>
    <row r="59" spans="1:26" ht="14.25" customHeight="1" x14ac:dyDescent="0.3">
      <c r="A59" s="8"/>
      <c r="B59" s="8"/>
      <c r="C59" s="8"/>
      <c r="D59" s="8"/>
      <c r="E59" s="8"/>
      <c r="F59" s="8"/>
      <c r="G59" s="8"/>
      <c r="H59" s="8"/>
      <c r="I59" s="89"/>
      <c r="J59" s="8"/>
      <c r="K59" s="8"/>
      <c r="L59" s="8"/>
      <c r="M59" s="8"/>
      <c r="N59" s="8"/>
      <c r="O59" s="8"/>
      <c r="P59" s="8"/>
      <c r="Q59" s="8"/>
      <c r="R59" s="8"/>
      <c r="S59" s="8"/>
      <c r="T59" s="8"/>
      <c r="U59" s="8"/>
      <c r="V59" s="8"/>
      <c r="W59" s="8"/>
      <c r="X59" s="8"/>
      <c r="Y59" s="8"/>
      <c r="Z59" s="8"/>
    </row>
    <row r="60" spans="1:26" ht="14.25" customHeight="1" x14ac:dyDescent="0.3">
      <c r="A60" s="8"/>
      <c r="B60" s="8"/>
      <c r="C60" s="8"/>
      <c r="D60" s="8"/>
      <c r="E60" s="8"/>
      <c r="F60" s="8"/>
      <c r="G60" s="8"/>
      <c r="H60" s="8"/>
      <c r="I60" s="89"/>
      <c r="J60" s="8"/>
      <c r="K60" s="8"/>
      <c r="L60" s="8"/>
      <c r="M60" s="8"/>
      <c r="N60" s="8"/>
      <c r="O60" s="8"/>
      <c r="P60" s="8"/>
      <c r="Q60" s="8"/>
      <c r="R60" s="8"/>
      <c r="S60" s="8"/>
      <c r="T60" s="8"/>
      <c r="U60" s="8"/>
      <c r="V60" s="8"/>
      <c r="W60" s="8"/>
      <c r="X60" s="8"/>
      <c r="Y60" s="8"/>
      <c r="Z60" s="8"/>
    </row>
    <row r="61" spans="1:26" ht="14.25" customHeight="1" x14ac:dyDescent="0.3">
      <c r="A61" s="8"/>
      <c r="B61" s="8"/>
      <c r="C61" s="8"/>
      <c r="D61" s="8"/>
      <c r="E61" s="8"/>
      <c r="F61" s="8"/>
      <c r="G61" s="8"/>
      <c r="H61" s="8"/>
      <c r="I61" s="89"/>
      <c r="J61" s="8"/>
      <c r="K61" s="8"/>
      <c r="L61" s="8"/>
      <c r="M61" s="8"/>
      <c r="N61" s="8"/>
      <c r="O61" s="8"/>
      <c r="P61" s="8"/>
      <c r="Q61" s="8"/>
      <c r="R61" s="8"/>
      <c r="S61" s="8"/>
      <c r="T61" s="8"/>
      <c r="U61" s="8"/>
      <c r="V61" s="8"/>
      <c r="W61" s="8"/>
      <c r="X61" s="8"/>
      <c r="Y61" s="8"/>
      <c r="Z61" s="8"/>
    </row>
    <row r="62" spans="1:26" ht="14.25" customHeight="1" x14ac:dyDescent="0.3">
      <c r="A62" s="8"/>
      <c r="B62" s="8"/>
      <c r="C62" s="8"/>
      <c r="D62" s="8"/>
      <c r="E62" s="8"/>
      <c r="F62" s="8"/>
      <c r="G62" s="8"/>
      <c r="H62" s="8"/>
      <c r="I62" s="89"/>
      <c r="J62" s="8"/>
      <c r="K62" s="8"/>
      <c r="L62" s="8"/>
      <c r="M62" s="8"/>
      <c r="N62" s="8"/>
      <c r="O62" s="8"/>
      <c r="P62" s="8"/>
      <c r="Q62" s="8"/>
      <c r="R62" s="8"/>
      <c r="S62" s="8"/>
      <c r="T62" s="8"/>
      <c r="U62" s="8"/>
      <c r="V62" s="8"/>
      <c r="W62" s="8"/>
      <c r="X62" s="8"/>
      <c r="Y62" s="8"/>
      <c r="Z62" s="8"/>
    </row>
    <row r="63" spans="1:26" ht="14.25" customHeight="1" x14ac:dyDescent="0.3">
      <c r="A63" s="8"/>
      <c r="B63" s="8"/>
      <c r="C63" s="8"/>
      <c r="D63" s="8"/>
      <c r="E63" s="8"/>
      <c r="F63" s="8"/>
      <c r="G63" s="8"/>
      <c r="H63" s="8"/>
      <c r="I63" s="89"/>
      <c r="J63" s="8"/>
      <c r="K63" s="8"/>
      <c r="L63" s="8"/>
      <c r="M63" s="8"/>
      <c r="N63" s="8"/>
      <c r="O63" s="8"/>
      <c r="P63" s="8"/>
      <c r="Q63" s="8"/>
      <c r="R63" s="8"/>
      <c r="S63" s="8"/>
      <c r="T63" s="8"/>
      <c r="U63" s="8"/>
      <c r="V63" s="8"/>
      <c r="W63" s="8"/>
      <c r="X63" s="8"/>
      <c r="Y63" s="8"/>
      <c r="Z63" s="8"/>
    </row>
    <row r="64" spans="1:26" ht="14.25" customHeight="1" x14ac:dyDescent="0.3">
      <c r="A64" s="8"/>
      <c r="B64" s="8"/>
      <c r="C64" s="8"/>
      <c r="D64" s="8"/>
      <c r="E64" s="8"/>
      <c r="F64" s="8"/>
      <c r="G64" s="8"/>
      <c r="H64" s="8"/>
      <c r="I64" s="89"/>
      <c r="J64" s="8"/>
      <c r="K64" s="8"/>
      <c r="L64" s="8"/>
      <c r="M64" s="8"/>
      <c r="N64" s="8"/>
      <c r="O64" s="8"/>
      <c r="P64" s="8"/>
      <c r="Q64" s="8"/>
      <c r="R64" s="8"/>
      <c r="S64" s="8"/>
      <c r="T64" s="8"/>
      <c r="U64" s="8"/>
      <c r="V64" s="8"/>
      <c r="W64" s="8"/>
      <c r="X64" s="8"/>
      <c r="Y64" s="8"/>
      <c r="Z64" s="8"/>
    </row>
    <row r="65" spans="1:26" ht="14.25" customHeight="1" x14ac:dyDescent="0.3">
      <c r="A65" s="8"/>
      <c r="B65" s="8"/>
      <c r="C65" s="8"/>
      <c r="D65" s="8"/>
      <c r="E65" s="8"/>
      <c r="F65" s="8"/>
      <c r="G65" s="8"/>
      <c r="H65" s="8"/>
      <c r="I65" s="89"/>
      <c r="J65" s="8"/>
      <c r="K65" s="8"/>
      <c r="L65" s="8"/>
      <c r="M65" s="8"/>
      <c r="N65" s="8"/>
      <c r="O65" s="8"/>
      <c r="P65" s="8"/>
      <c r="Q65" s="8"/>
      <c r="R65" s="8"/>
      <c r="S65" s="8"/>
      <c r="T65" s="8"/>
      <c r="U65" s="8"/>
      <c r="V65" s="8"/>
      <c r="W65" s="8"/>
      <c r="X65" s="8"/>
      <c r="Y65" s="8"/>
      <c r="Z65" s="8"/>
    </row>
    <row r="66" spans="1:26" ht="14.25" customHeight="1" x14ac:dyDescent="0.3">
      <c r="A66" s="8"/>
      <c r="B66" s="8"/>
      <c r="C66" s="8"/>
      <c r="D66" s="8"/>
      <c r="E66" s="8"/>
      <c r="F66" s="8"/>
      <c r="G66" s="8"/>
      <c r="H66" s="8"/>
      <c r="I66" s="89"/>
      <c r="J66" s="8"/>
      <c r="K66" s="8"/>
      <c r="L66" s="8"/>
      <c r="M66" s="8"/>
      <c r="N66" s="8"/>
      <c r="O66" s="8"/>
      <c r="P66" s="8"/>
      <c r="Q66" s="8"/>
      <c r="R66" s="8"/>
      <c r="S66" s="8"/>
      <c r="T66" s="8"/>
      <c r="U66" s="8"/>
      <c r="V66" s="8"/>
      <c r="W66" s="8"/>
      <c r="X66" s="8"/>
      <c r="Y66" s="8"/>
      <c r="Z66" s="8"/>
    </row>
    <row r="67" spans="1:26" ht="14.25" customHeight="1" x14ac:dyDescent="0.3">
      <c r="A67" s="8"/>
      <c r="B67" s="8"/>
      <c r="C67" s="8"/>
      <c r="D67" s="8"/>
      <c r="E67" s="8"/>
      <c r="F67" s="8"/>
      <c r="G67" s="8"/>
      <c r="H67" s="8"/>
      <c r="I67" s="89"/>
      <c r="J67" s="8"/>
      <c r="K67" s="8"/>
      <c r="L67" s="8"/>
      <c r="M67" s="8"/>
      <c r="N67" s="8"/>
      <c r="O67" s="8"/>
      <c r="P67" s="8"/>
      <c r="Q67" s="8"/>
      <c r="R67" s="8"/>
      <c r="S67" s="8"/>
      <c r="T67" s="8"/>
      <c r="U67" s="8"/>
      <c r="V67" s="8"/>
      <c r="W67" s="8"/>
      <c r="X67" s="8"/>
      <c r="Y67" s="8"/>
      <c r="Z67" s="8"/>
    </row>
    <row r="68" spans="1:26" ht="14.25" customHeight="1" x14ac:dyDescent="0.3">
      <c r="A68" s="8"/>
      <c r="B68" s="8"/>
      <c r="C68" s="8"/>
      <c r="D68" s="8"/>
      <c r="E68" s="8"/>
      <c r="F68" s="8"/>
      <c r="G68" s="8"/>
      <c r="H68" s="8"/>
      <c r="I68" s="89"/>
      <c r="J68" s="8"/>
      <c r="K68" s="8"/>
      <c r="L68" s="8"/>
      <c r="M68" s="8"/>
      <c r="N68" s="8"/>
      <c r="O68" s="8"/>
      <c r="P68" s="8"/>
      <c r="Q68" s="8"/>
      <c r="R68" s="8"/>
      <c r="S68" s="8"/>
      <c r="T68" s="8"/>
      <c r="U68" s="8"/>
      <c r="V68" s="8"/>
      <c r="W68" s="8"/>
      <c r="X68" s="8"/>
      <c r="Y68" s="8"/>
      <c r="Z68" s="8"/>
    </row>
    <row r="69" spans="1:26" ht="14.25" customHeight="1" x14ac:dyDescent="0.3">
      <c r="A69" s="8"/>
      <c r="B69" s="8"/>
      <c r="C69" s="8"/>
      <c r="D69" s="8"/>
      <c r="E69" s="8"/>
      <c r="F69" s="8"/>
      <c r="G69" s="8"/>
      <c r="H69" s="8"/>
      <c r="I69" s="89"/>
      <c r="J69" s="8"/>
      <c r="K69" s="8"/>
      <c r="L69" s="8"/>
      <c r="M69" s="8"/>
      <c r="N69" s="8"/>
      <c r="O69" s="8"/>
      <c r="P69" s="8"/>
      <c r="Q69" s="8"/>
      <c r="R69" s="8"/>
      <c r="S69" s="8"/>
      <c r="T69" s="8"/>
      <c r="U69" s="8"/>
      <c r="V69" s="8"/>
      <c r="W69" s="8"/>
      <c r="X69" s="8"/>
      <c r="Y69" s="8"/>
      <c r="Z69" s="8"/>
    </row>
    <row r="70" spans="1:26" ht="14.25" customHeight="1" x14ac:dyDescent="0.3">
      <c r="A70" s="8"/>
      <c r="B70" s="8"/>
      <c r="C70" s="8"/>
      <c r="D70" s="8"/>
      <c r="E70" s="8"/>
      <c r="F70" s="8"/>
      <c r="G70" s="8"/>
      <c r="H70" s="8"/>
      <c r="I70" s="89"/>
      <c r="J70" s="8"/>
      <c r="K70" s="8"/>
      <c r="L70" s="8"/>
      <c r="M70" s="8"/>
      <c r="N70" s="8"/>
      <c r="O70" s="8"/>
      <c r="P70" s="8"/>
      <c r="Q70" s="8"/>
      <c r="R70" s="8"/>
      <c r="S70" s="8"/>
      <c r="T70" s="8"/>
      <c r="U70" s="8"/>
      <c r="V70" s="8"/>
      <c r="W70" s="8"/>
      <c r="X70" s="8"/>
      <c r="Y70" s="8"/>
      <c r="Z70" s="8"/>
    </row>
    <row r="71" spans="1:26" ht="14.25" customHeight="1" x14ac:dyDescent="0.3">
      <c r="A71" s="8"/>
      <c r="B71" s="8"/>
      <c r="C71" s="8"/>
      <c r="D71" s="8"/>
      <c r="E71" s="8"/>
      <c r="F71" s="8"/>
      <c r="G71" s="8"/>
      <c r="H71" s="8"/>
      <c r="I71" s="89"/>
      <c r="J71" s="8"/>
      <c r="K71" s="8"/>
      <c r="L71" s="8"/>
      <c r="M71" s="8"/>
      <c r="N71" s="8"/>
      <c r="O71" s="8"/>
      <c r="P71" s="8"/>
      <c r="Q71" s="8"/>
      <c r="R71" s="8"/>
      <c r="S71" s="8"/>
      <c r="T71" s="8"/>
      <c r="U71" s="8"/>
      <c r="V71" s="8"/>
      <c r="W71" s="8"/>
      <c r="X71" s="8"/>
      <c r="Y71" s="8"/>
      <c r="Z71" s="8"/>
    </row>
    <row r="72" spans="1:26" ht="14.25" customHeight="1" x14ac:dyDescent="0.3">
      <c r="A72" s="8"/>
      <c r="B72" s="8"/>
      <c r="C72" s="8"/>
      <c r="D72" s="8"/>
      <c r="E72" s="8"/>
      <c r="F72" s="8"/>
      <c r="G72" s="8"/>
      <c r="H72" s="8"/>
      <c r="I72" s="89"/>
      <c r="J72" s="8"/>
      <c r="K72" s="8"/>
      <c r="L72" s="8"/>
      <c r="M72" s="8"/>
      <c r="N72" s="8"/>
      <c r="O72" s="8"/>
      <c r="P72" s="8"/>
      <c r="Q72" s="8"/>
      <c r="R72" s="8"/>
      <c r="S72" s="8"/>
      <c r="T72" s="8"/>
      <c r="U72" s="8"/>
      <c r="V72" s="8"/>
      <c r="W72" s="8"/>
      <c r="X72" s="8"/>
      <c r="Y72" s="8"/>
      <c r="Z72" s="8"/>
    </row>
    <row r="73" spans="1:26" ht="14.25" customHeight="1" x14ac:dyDescent="0.3">
      <c r="A73" s="8"/>
      <c r="B73" s="8"/>
      <c r="C73" s="8"/>
      <c r="D73" s="8"/>
      <c r="E73" s="8"/>
      <c r="F73" s="8"/>
      <c r="G73" s="8"/>
      <c r="H73" s="8"/>
      <c r="I73" s="89"/>
      <c r="J73" s="8"/>
      <c r="K73" s="8"/>
      <c r="L73" s="8"/>
      <c r="M73" s="8"/>
      <c r="N73" s="8"/>
      <c r="O73" s="8"/>
      <c r="P73" s="8"/>
      <c r="Q73" s="8"/>
      <c r="R73" s="8"/>
      <c r="S73" s="8"/>
      <c r="T73" s="8"/>
      <c r="U73" s="8"/>
      <c r="V73" s="8"/>
      <c r="W73" s="8"/>
      <c r="X73" s="8"/>
      <c r="Y73" s="8"/>
      <c r="Z73" s="8"/>
    </row>
    <row r="74" spans="1:26" ht="14.25" customHeight="1" x14ac:dyDescent="0.3">
      <c r="A74" s="8"/>
      <c r="B74" s="8"/>
      <c r="C74" s="8"/>
      <c r="D74" s="8"/>
      <c r="E74" s="8"/>
      <c r="F74" s="8"/>
      <c r="G74" s="8"/>
      <c r="H74" s="8"/>
      <c r="I74" s="89"/>
      <c r="J74" s="8"/>
      <c r="K74" s="8"/>
      <c r="L74" s="8"/>
      <c r="M74" s="8"/>
      <c r="N74" s="8"/>
      <c r="O74" s="8"/>
      <c r="P74" s="8"/>
      <c r="Q74" s="8"/>
      <c r="R74" s="8"/>
      <c r="S74" s="8"/>
      <c r="T74" s="8"/>
      <c r="U74" s="8"/>
      <c r="V74" s="8"/>
      <c r="W74" s="8"/>
      <c r="X74" s="8"/>
      <c r="Y74" s="8"/>
      <c r="Z74" s="8"/>
    </row>
    <row r="75" spans="1:26" ht="14.25" customHeight="1" x14ac:dyDescent="0.3">
      <c r="A75" s="8"/>
      <c r="B75" s="8"/>
      <c r="C75" s="8"/>
      <c r="D75" s="8"/>
      <c r="E75" s="8"/>
      <c r="F75" s="8"/>
      <c r="G75" s="8"/>
      <c r="H75" s="8"/>
      <c r="I75" s="89"/>
      <c r="J75" s="8"/>
      <c r="K75" s="8"/>
      <c r="L75" s="8"/>
      <c r="M75" s="8"/>
      <c r="N75" s="8"/>
      <c r="O75" s="8"/>
      <c r="P75" s="8"/>
      <c r="Q75" s="8"/>
      <c r="R75" s="8"/>
      <c r="S75" s="8"/>
      <c r="T75" s="8"/>
      <c r="U75" s="8"/>
      <c r="V75" s="8"/>
      <c r="W75" s="8"/>
      <c r="X75" s="8"/>
      <c r="Y75" s="8"/>
      <c r="Z75" s="8"/>
    </row>
    <row r="76" spans="1:26" ht="14.25" customHeight="1" x14ac:dyDescent="0.3">
      <c r="A76" s="8"/>
      <c r="B76" s="8"/>
      <c r="C76" s="8"/>
      <c r="D76" s="8"/>
      <c r="E76" s="8"/>
      <c r="F76" s="8"/>
      <c r="G76" s="8"/>
      <c r="H76" s="8"/>
      <c r="I76" s="89"/>
      <c r="J76" s="8"/>
      <c r="K76" s="8"/>
      <c r="L76" s="8"/>
      <c r="M76" s="8"/>
      <c r="N76" s="8"/>
      <c r="O76" s="8"/>
      <c r="P76" s="8"/>
      <c r="Q76" s="8"/>
      <c r="R76" s="8"/>
      <c r="S76" s="8"/>
      <c r="T76" s="8"/>
      <c r="U76" s="8"/>
      <c r="V76" s="8"/>
      <c r="W76" s="8"/>
      <c r="X76" s="8"/>
      <c r="Y76" s="8"/>
      <c r="Z76" s="8"/>
    </row>
    <row r="77" spans="1:26" ht="14.25" customHeight="1" x14ac:dyDescent="0.3">
      <c r="A77" s="8"/>
      <c r="B77" s="8"/>
      <c r="C77" s="8"/>
      <c r="D77" s="8"/>
      <c r="E77" s="8"/>
      <c r="F77" s="8"/>
      <c r="G77" s="8"/>
      <c r="H77" s="8"/>
      <c r="I77" s="89"/>
      <c r="J77" s="8"/>
      <c r="K77" s="8"/>
      <c r="L77" s="8"/>
      <c r="M77" s="8"/>
      <c r="N77" s="8"/>
      <c r="O77" s="8"/>
      <c r="P77" s="8"/>
      <c r="Q77" s="8"/>
      <c r="R77" s="8"/>
      <c r="S77" s="8"/>
      <c r="T77" s="8"/>
      <c r="U77" s="8"/>
      <c r="V77" s="8"/>
      <c r="W77" s="8"/>
      <c r="X77" s="8"/>
      <c r="Y77" s="8"/>
      <c r="Z77" s="8"/>
    </row>
    <row r="78" spans="1:26" ht="14.25" customHeight="1" x14ac:dyDescent="0.3">
      <c r="A78" s="8"/>
      <c r="B78" s="8"/>
      <c r="C78" s="8"/>
      <c r="D78" s="8"/>
      <c r="E78" s="8"/>
      <c r="F78" s="8"/>
      <c r="G78" s="8"/>
      <c r="H78" s="8"/>
      <c r="I78" s="89"/>
      <c r="J78" s="8"/>
      <c r="K78" s="8"/>
      <c r="L78" s="8"/>
      <c r="M78" s="8"/>
      <c r="N78" s="8"/>
      <c r="O78" s="8"/>
      <c r="P78" s="8"/>
      <c r="Q78" s="8"/>
      <c r="R78" s="8"/>
      <c r="S78" s="8"/>
      <c r="T78" s="8"/>
      <c r="U78" s="8"/>
      <c r="V78" s="8"/>
      <c r="W78" s="8"/>
      <c r="X78" s="8"/>
      <c r="Y78" s="8"/>
      <c r="Z78" s="8"/>
    </row>
    <row r="79" spans="1:26" ht="14.25" customHeight="1" x14ac:dyDescent="0.3">
      <c r="A79" s="8"/>
      <c r="B79" s="8"/>
      <c r="C79" s="8"/>
      <c r="D79" s="8"/>
      <c r="E79" s="8"/>
      <c r="F79" s="8"/>
      <c r="G79" s="8"/>
      <c r="H79" s="8"/>
      <c r="I79" s="89"/>
      <c r="J79" s="8"/>
      <c r="K79" s="8"/>
      <c r="L79" s="8"/>
      <c r="M79" s="8"/>
      <c r="N79" s="8"/>
      <c r="O79" s="8"/>
      <c r="P79" s="8"/>
      <c r="Q79" s="8"/>
      <c r="R79" s="8"/>
      <c r="S79" s="8"/>
      <c r="T79" s="8"/>
      <c r="U79" s="8"/>
      <c r="V79" s="8"/>
      <c r="W79" s="8"/>
      <c r="X79" s="8"/>
      <c r="Y79" s="8"/>
      <c r="Z79" s="8"/>
    </row>
    <row r="80" spans="1:26" ht="14.25" customHeight="1" x14ac:dyDescent="0.3">
      <c r="A80" s="8"/>
      <c r="B80" s="8"/>
      <c r="C80" s="8"/>
      <c r="D80" s="8"/>
      <c r="E80" s="8"/>
      <c r="F80" s="8"/>
      <c r="G80" s="8"/>
      <c r="H80" s="8"/>
      <c r="I80" s="89"/>
      <c r="J80" s="8"/>
      <c r="K80" s="8"/>
      <c r="L80" s="8"/>
      <c r="M80" s="8"/>
      <c r="N80" s="8"/>
      <c r="O80" s="8"/>
      <c r="P80" s="8"/>
      <c r="Q80" s="8"/>
      <c r="R80" s="8"/>
      <c r="S80" s="8"/>
      <c r="T80" s="8"/>
      <c r="U80" s="8"/>
      <c r="V80" s="8"/>
      <c r="W80" s="8"/>
      <c r="X80" s="8"/>
      <c r="Y80" s="8"/>
      <c r="Z80" s="8"/>
    </row>
    <row r="81" spans="1:26" ht="14.25" customHeight="1" x14ac:dyDescent="0.3">
      <c r="A81" s="8"/>
      <c r="B81" s="8"/>
      <c r="C81" s="8"/>
      <c r="D81" s="8"/>
      <c r="E81" s="8"/>
      <c r="F81" s="8"/>
      <c r="G81" s="8"/>
      <c r="H81" s="8"/>
      <c r="I81" s="89"/>
      <c r="J81" s="8"/>
      <c r="K81" s="8"/>
      <c r="L81" s="8"/>
      <c r="M81" s="8"/>
      <c r="N81" s="8"/>
      <c r="O81" s="8"/>
      <c r="P81" s="8"/>
      <c r="Q81" s="8"/>
      <c r="R81" s="8"/>
      <c r="S81" s="8"/>
      <c r="T81" s="8"/>
      <c r="U81" s="8"/>
      <c r="V81" s="8"/>
      <c r="W81" s="8"/>
      <c r="X81" s="8"/>
      <c r="Y81" s="8"/>
      <c r="Z81" s="8"/>
    </row>
    <row r="82" spans="1:26" ht="14.25" customHeight="1" x14ac:dyDescent="0.3">
      <c r="A82" s="8"/>
      <c r="B82" s="8"/>
      <c r="C82" s="8"/>
      <c r="D82" s="8"/>
      <c r="E82" s="8"/>
      <c r="F82" s="8"/>
      <c r="G82" s="8"/>
      <c r="H82" s="8"/>
      <c r="I82" s="89"/>
      <c r="J82" s="8"/>
      <c r="K82" s="8"/>
      <c r="L82" s="8"/>
      <c r="M82" s="8"/>
      <c r="N82" s="8"/>
      <c r="O82" s="8"/>
      <c r="P82" s="8"/>
      <c r="Q82" s="8"/>
      <c r="R82" s="8"/>
      <c r="S82" s="8"/>
      <c r="T82" s="8"/>
      <c r="U82" s="8"/>
      <c r="V82" s="8"/>
      <c r="W82" s="8"/>
      <c r="X82" s="8"/>
      <c r="Y82" s="8"/>
      <c r="Z82" s="8"/>
    </row>
    <row r="83" spans="1:26" ht="14.25" customHeight="1" x14ac:dyDescent="0.3">
      <c r="A83" s="8"/>
      <c r="B83" s="8"/>
      <c r="C83" s="8"/>
      <c r="D83" s="8"/>
      <c r="E83" s="8"/>
      <c r="F83" s="8"/>
      <c r="G83" s="8"/>
      <c r="H83" s="8"/>
      <c r="I83" s="89"/>
      <c r="J83" s="8"/>
      <c r="K83" s="8"/>
      <c r="L83" s="8"/>
      <c r="M83" s="8"/>
      <c r="N83" s="8"/>
      <c r="O83" s="8"/>
      <c r="P83" s="8"/>
      <c r="Q83" s="8"/>
      <c r="R83" s="8"/>
      <c r="S83" s="8"/>
      <c r="T83" s="8"/>
      <c r="U83" s="8"/>
      <c r="V83" s="8"/>
      <c r="W83" s="8"/>
      <c r="X83" s="8"/>
      <c r="Y83" s="8"/>
      <c r="Z83" s="8"/>
    </row>
    <row r="84" spans="1:26" ht="14.25" customHeight="1" x14ac:dyDescent="0.3">
      <c r="A84" s="8"/>
      <c r="B84" s="8"/>
      <c r="C84" s="8"/>
      <c r="D84" s="8"/>
      <c r="E84" s="8"/>
      <c r="F84" s="8"/>
      <c r="G84" s="8"/>
      <c r="H84" s="8"/>
      <c r="I84" s="89"/>
      <c r="J84" s="8"/>
      <c r="K84" s="8"/>
      <c r="L84" s="8"/>
      <c r="M84" s="8"/>
      <c r="N84" s="8"/>
      <c r="O84" s="8"/>
      <c r="P84" s="8"/>
      <c r="Q84" s="8"/>
      <c r="R84" s="8"/>
      <c r="S84" s="8"/>
      <c r="T84" s="8"/>
      <c r="U84" s="8"/>
      <c r="V84" s="8"/>
      <c r="W84" s="8"/>
      <c r="X84" s="8"/>
      <c r="Y84" s="8"/>
      <c r="Z84" s="8"/>
    </row>
    <row r="85" spans="1:26" ht="14.25" customHeight="1" x14ac:dyDescent="0.3">
      <c r="A85" s="8"/>
      <c r="B85" s="8"/>
      <c r="C85" s="8"/>
      <c r="D85" s="8"/>
      <c r="E85" s="8"/>
      <c r="F85" s="8"/>
      <c r="G85" s="8"/>
      <c r="H85" s="8"/>
      <c r="I85" s="89"/>
      <c r="J85" s="8"/>
      <c r="K85" s="8"/>
      <c r="L85" s="8"/>
      <c r="M85" s="8"/>
      <c r="N85" s="8"/>
      <c r="O85" s="8"/>
      <c r="P85" s="8"/>
      <c r="Q85" s="8"/>
      <c r="R85" s="8"/>
      <c r="S85" s="8"/>
      <c r="T85" s="8"/>
      <c r="U85" s="8"/>
      <c r="V85" s="8"/>
      <c r="W85" s="8"/>
      <c r="X85" s="8"/>
      <c r="Y85" s="8"/>
      <c r="Z85" s="8"/>
    </row>
    <row r="86" spans="1:26" ht="14.25" customHeight="1" x14ac:dyDescent="0.3">
      <c r="A86" s="8"/>
      <c r="B86" s="8"/>
      <c r="C86" s="8"/>
      <c r="D86" s="8"/>
      <c r="E86" s="8"/>
      <c r="F86" s="8"/>
      <c r="G86" s="8"/>
      <c r="H86" s="8"/>
      <c r="I86" s="89"/>
      <c r="J86" s="8"/>
      <c r="K86" s="8"/>
      <c r="L86" s="8"/>
      <c r="M86" s="8"/>
      <c r="N86" s="8"/>
      <c r="O86" s="8"/>
      <c r="P86" s="8"/>
      <c r="Q86" s="8"/>
      <c r="R86" s="8"/>
      <c r="S86" s="8"/>
      <c r="T86" s="8"/>
      <c r="U86" s="8"/>
      <c r="V86" s="8"/>
      <c r="W86" s="8"/>
      <c r="X86" s="8"/>
      <c r="Y86" s="8"/>
      <c r="Z86" s="8"/>
    </row>
    <row r="87" spans="1:26" ht="14.25" customHeight="1" x14ac:dyDescent="0.3">
      <c r="A87" s="8"/>
      <c r="B87" s="8"/>
      <c r="C87" s="8"/>
      <c r="D87" s="8"/>
      <c r="E87" s="8"/>
      <c r="F87" s="8"/>
      <c r="G87" s="8"/>
      <c r="H87" s="8"/>
      <c r="I87" s="89"/>
      <c r="J87" s="8"/>
      <c r="K87" s="8"/>
      <c r="L87" s="8"/>
      <c r="M87" s="8"/>
      <c r="N87" s="8"/>
      <c r="O87" s="8"/>
      <c r="P87" s="8"/>
      <c r="Q87" s="8"/>
      <c r="R87" s="8"/>
      <c r="S87" s="8"/>
      <c r="T87" s="8"/>
      <c r="U87" s="8"/>
      <c r="V87" s="8"/>
      <c r="W87" s="8"/>
      <c r="X87" s="8"/>
      <c r="Y87" s="8"/>
      <c r="Z87" s="8"/>
    </row>
    <row r="88" spans="1:26" ht="14.25" customHeight="1" x14ac:dyDescent="0.3">
      <c r="A88" s="8"/>
      <c r="B88" s="8"/>
      <c r="C88" s="8"/>
      <c r="D88" s="8"/>
      <c r="E88" s="8"/>
      <c r="F88" s="8"/>
      <c r="G88" s="8"/>
      <c r="H88" s="8"/>
      <c r="I88" s="89"/>
      <c r="J88" s="8"/>
      <c r="K88" s="8"/>
      <c r="L88" s="8"/>
      <c r="M88" s="8"/>
      <c r="N88" s="8"/>
      <c r="O88" s="8"/>
      <c r="P88" s="8"/>
      <c r="Q88" s="8"/>
      <c r="R88" s="8"/>
      <c r="S88" s="8"/>
      <c r="T88" s="8"/>
      <c r="U88" s="8"/>
      <c r="V88" s="8"/>
      <c r="W88" s="8"/>
      <c r="X88" s="8"/>
      <c r="Y88" s="8"/>
      <c r="Z88" s="8"/>
    </row>
    <row r="89" spans="1:26" ht="14.25" customHeight="1" x14ac:dyDescent="0.3">
      <c r="A89" s="8"/>
      <c r="B89" s="8"/>
      <c r="C89" s="8"/>
      <c r="D89" s="8"/>
      <c r="E89" s="8"/>
      <c r="F89" s="8"/>
      <c r="G89" s="8"/>
      <c r="H89" s="8"/>
      <c r="I89" s="89"/>
      <c r="J89" s="8"/>
      <c r="K89" s="8"/>
      <c r="L89" s="8"/>
      <c r="M89" s="8"/>
      <c r="N89" s="8"/>
      <c r="O89" s="8"/>
      <c r="P89" s="8"/>
      <c r="Q89" s="8"/>
      <c r="R89" s="8"/>
      <c r="S89" s="8"/>
      <c r="T89" s="8"/>
      <c r="U89" s="8"/>
      <c r="V89" s="8"/>
      <c r="W89" s="8"/>
      <c r="X89" s="8"/>
      <c r="Y89" s="8"/>
      <c r="Z89" s="8"/>
    </row>
    <row r="90" spans="1:26" ht="14.25" customHeight="1" x14ac:dyDescent="0.3">
      <c r="A90" s="8"/>
      <c r="B90" s="8"/>
      <c r="C90" s="8"/>
      <c r="D90" s="8"/>
      <c r="E90" s="8"/>
      <c r="F90" s="8"/>
      <c r="G90" s="8"/>
      <c r="H90" s="8"/>
      <c r="I90" s="89"/>
      <c r="J90" s="8"/>
      <c r="K90" s="8"/>
      <c r="L90" s="8"/>
      <c r="M90" s="8"/>
      <c r="N90" s="8"/>
      <c r="O90" s="8"/>
      <c r="P90" s="8"/>
      <c r="Q90" s="8"/>
      <c r="R90" s="8"/>
      <c r="S90" s="8"/>
      <c r="T90" s="8"/>
      <c r="U90" s="8"/>
      <c r="V90" s="8"/>
      <c r="W90" s="8"/>
      <c r="X90" s="8"/>
      <c r="Y90" s="8"/>
      <c r="Z90" s="8"/>
    </row>
    <row r="91" spans="1:26" ht="14.25" customHeight="1" x14ac:dyDescent="0.3">
      <c r="A91" s="8"/>
      <c r="B91" s="8"/>
      <c r="C91" s="8"/>
      <c r="D91" s="8"/>
      <c r="E91" s="8"/>
      <c r="F91" s="8"/>
      <c r="G91" s="8"/>
      <c r="H91" s="8"/>
      <c r="I91" s="89"/>
      <c r="J91" s="8"/>
      <c r="K91" s="8"/>
      <c r="L91" s="8"/>
      <c r="M91" s="8"/>
      <c r="N91" s="8"/>
      <c r="O91" s="8"/>
      <c r="P91" s="8"/>
      <c r="Q91" s="8"/>
      <c r="R91" s="8"/>
      <c r="S91" s="8"/>
      <c r="T91" s="8"/>
      <c r="U91" s="8"/>
      <c r="V91" s="8"/>
      <c r="W91" s="8"/>
      <c r="X91" s="8"/>
      <c r="Y91" s="8"/>
      <c r="Z91" s="8"/>
    </row>
    <row r="92" spans="1:26" ht="14.25" customHeight="1" x14ac:dyDescent="0.3">
      <c r="A92" s="8"/>
      <c r="B92" s="8"/>
      <c r="C92" s="8"/>
      <c r="D92" s="8"/>
      <c r="E92" s="8"/>
      <c r="F92" s="8"/>
      <c r="G92" s="8"/>
      <c r="H92" s="8"/>
      <c r="I92" s="89"/>
      <c r="J92" s="8"/>
      <c r="K92" s="8"/>
      <c r="L92" s="8"/>
      <c r="M92" s="8"/>
      <c r="N92" s="8"/>
      <c r="O92" s="8"/>
      <c r="P92" s="8"/>
      <c r="Q92" s="8"/>
      <c r="R92" s="8"/>
      <c r="S92" s="8"/>
      <c r="T92" s="8"/>
      <c r="U92" s="8"/>
      <c r="V92" s="8"/>
      <c r="W92" s="8"/>
      <c r="X92" s="8"/>
      <c r="Y92" s="8"/>
      <c r="Z92" s="8"/>
    </row>
    <row r="93" spans="1:26" ht="14.25" customHeight="1" x14ac:dyDescent="0.3">
      <c r="A93" s="8"/>
      <c r="B93" s="8"/>
      <c r="C93" s="8"/>
      <c r="D93" s="8"/>
      <c r="E93" s="8"/>
      <c r="F93" s="8"/>
      <c r="G93" s="8"/>
      <c r="H93" s="8"/>
      <c r="I93" s="89"/>
      <c r="J93" s="8"/>
      <c r="K93" s="8"/>
      <c r="L93" s="8"/>
      <c r="M93" s="8"/>
      <c r="N93" s="8"/>
      <c r="O93" s="8"/>
      <c r="P93" s="8"/>
      <c r="Q93" s="8"/>
      <c r="R93" s="8"/>
      <c r="S93" s="8"/>
      <c r="T93" s="8"/>
      <c r="U93" s="8"/>
      <c r="V93" s="8"/>
      <c r="W93" s="8"/>
      <c r="X93" s="8"/>
      <c r="Y93" s="8"/>
      <c r="Z93" s="8"/>
    </row>
    <row r="94" spans="1:26" ht="14.25" customHeight="1" x14ac:dyDescent="0.3">
      <c r="A94" s="8"/>
      <c r="B94" s="8"/>
      <c r="C94" s="8"/>
      <c r="D94" s="8"/>
      <c r="E94" s="8"/>
      <c r="F94" s="8"/>
      <c r="G94" s="8"/>
      <c r="H94" s="8"/>
      <c r="I94" s="89"/>
      <c r="J94" s="8"/>
      <c r="K94" s="8"/>
      <c r="L94" s="8"/>
      <c r="M94" s="8"/>
      <c r="N94" s="8"/>
      <c r="O94" s="8"/>
      <c r="P94" s="8"/>
      <c r="Q94" s="8"/>
      <c r="R94" s="8"/>
      <c r="S94" s="8"/>
      <c r="T94" s="8"/>
      <c r="U94" s="8"/>
      <c r="V94" s="8"/>
      <c r="W94" s="8"/>
      <c r="X94" s="8"/>
      <c r="Y94" s="8"/>
      <c r="Z94" s="8"/>
    </row>
    <row r="95" spans="1:26" ht="14.25" customHeight="1" x14ac:dyDescent="0.3">
      <c r="A95" s="8"/>
      <c r="B95" s="8"/>
      <c r="C95" s="8"/>
      <c r="D95" s="8"/>
      <c r="E95" s="8"/>
      <c r="F95" s="8"/>
      <c r="G95" s="8"/>
      <c r="H95" s="8"/>
      <c r="I95" s="89"/>
      <c r="J95" s="8"/>
      <c r="K95" s="8"/>
      <c r="L95" s="8"/>
      <c r="M95" s="8"/>
      <c r="N95" s="8"/>
      <c r="O95" s="8"/>
      <c r="P95" s="8"/>
      <c r="Q95" s="8"/>
      <c r="R95" s="8"/>
      <c r="S95" s="8"/>
      <c r="T95" s="8"/>
      <c r="U95" s="8"/>
      <c r="V95" s="8"/>
      <c r="W95" s="8"/>
      <c r="X95" s="8"/>
      <c r="Y95" s="8"/>
      <c r="Z95" s="8"/>
    </row>
    <row r="96" spans="1:26" ht="14.25" customHeight="1" x14ac:dyDescent="0.3">
      <c r="A96" s="8"/>
      <c r="B96" s="8"/>
      <c r="C96" s="8"/>
      <c r="D96" s="8"/>
      <c r="E96" s="8"/>
      <c r="F96" s="8"/>
      <c r="G96" s="8"/>
      <c r="H96" s="8"/>
      <c r="I96" s="89"/>
      <c r="J96" s="8"/>
      <c r="K96" s="8"/>
      <c r="L96" s="8"/>
      <c r="M96" s="8"/>
      <c r="N96" s="8"/>
      <c r="O96" s="8"/>
      <c r="P96" s="8"/>
      <c r="Q96" s="8"/>
      <c r="R96" s="8"/>
      <c r="S96" s="8"/>
      <c r="T96" s="8"/>
      <c r="U96" s="8"/>
      <c r="V96" s="8"/>
      <c r="W96" s="8"/>
      <c r="X96" s="8"/>
      <c r="Y96" s="8"/>
      <c r="Z96" s="8"/>
    </row>
    <row r="97" spans="1:26" ht="14.25" customHeight="1" x14ac:dyDescent="0.3">
      <c r="A97" s="8"/>
      <c r="B97" s="8"/>
      <c r="C97" s="8"/>
      <c r="D97" s="8"/>
      <c r="E97" s="8"/>
      <c r="F97" s="8"/>
      <c r="G97" s="8"/>
      <c r="H97" s="8"/>
      <c r="I97" s="89"/>
      <c r="J97" s="8"/>
      <c r="K97" s="8"/>
      <c r="L97" s="8"/>
      <c r="M97" s="8"/>
      <c r="N97" s="8"/>
      <c r="O97" s="8"/>
      <c r="P97" s="8"/>
      <c r="Q97" s="8"/>
      <c r="R97" s="8"/>
      <c r="S97" s="8"/>
      <c r="T97" s="8"/>
      <c r="U97" s="8"/>
      <c r="V97" s="8"/>
      <c r="W97" s="8"/>
      <c r="X97" s="8"/>
      <c r="Y97" s="8"/>
      <c r="Z97" s="8"/>
    </row>
    <row r="98" spans="1:26" ht="14.25" customHeight="1" x14ac:dyDescent="0.3">
      <c r="A98" s="8"/>
      <c r="B98" s="8"/>
      <c r="C98" s="8"/>
      <c r="D98" s="8"/>
      <c r="E98" s="8"/>
      <c r="F98" s="8"/>
      <c r="G98" s="8"/>
      <c r="H98" s="8"/>
      <c r="I98" s="89"/>
      <c r="J98" s="8"/>
      <c r="K98" s="8"/>
      <c r="L98" s="8"/>
      <c r="M98" s="8"/>
      <c r="N98" s="8"/>
      <c r="O98" s="8"/>
      <c r="P98" s="8"/>
      <c r="Q98" s="8"/>
      <c r="R98" s="8"/>
      <c r="S98" s="8"/>
      <c r="T98" s="8"/>
      <c r="U98" s="8"/>
      <c r="V98" s="8"/>
      <c r="W98" s="8"/>
      <c r="X98" s="8"/>
      <c r="Y98" s="8"/>
      <c r="Z98" s="8"/>
    </row>
    <row r="99" spans="1:26" ht="14.25" customHeight="1" x14ac:dyDescent="0.3">
      <c r="A99" s="8"/>
      <c r="B99" s="8"/>
      <c r="C99" s="8"/>
      <c r="D99" s="8"/>
      <c r="E99" s="8"/>
      <c r="F99" s="8"/>
      <c r="G99" s="8"/>
      <c r="H99" s="8"/>
      <c r="I99" s="89"/>
      <c r="J99" s="8"/>
      <c r="K99" s="8"/>
      <c r="L99" s="8"/>
      <c r="M99" s="8"/>
      <c r="N99" s="8"/>
      <c r="O99" s="8"/>
      <c r="P99" s="8"/>
      <c r="Q99" s="8"/>
      <c r="R99" s="8"/>
      <c r="S99" s="8"/>
      <c r="T99" s="8"/>
      <c r="U99" s="8"/>
      <c r="V99" s="8"/>
      <c r="W99" s="8"/>
      <c r="X99" s="8"/>
      <c r="Y99" s="8"/>
      <c r="Z99" s="8"/>
    </row>
    <row r="100" spans="1:26" ht="14.25" customHeight="1" x14ac:dyDescent="0.3">
      <c r="A100" s="8"/>
      <c r="B100" s="8"/>
      <c r="C100" s="8"/>
      <c r="D100" s="8"/>
      <c r="E100" s="8"/>
      <c r="F100" s="8"/>
      <c r="G100" s="8"/>
      <c r="H100" s="8"/>
      <c r="I100" s="89"/>
      <c r="J100" s="8"/>
      <c r="K100" s="8"/>
      <c r="L100" s="8"/>
      <c r="M100" s="8"/>
      <c r="N100" s="8"/>
      <c r="O100" s="8"/>
      <c r="P100" s="8"/>
      <c r="Q100" s="8"/>
      <c r="R100" s="8"/>
      <c r="S100" s="8"/>
      <c r="T100" s="8"/>
      <c r="U100" s="8"/>
      <c r="V100" s="8"/>
      <c r="W100" s="8"/>
      <c r="X100" s="8"/>
      <c r="Y100" s="8"/>
      <c r="Z100" s="8"/>
    </row>
    <row r="101" spans="1:26" ht="14.25" customHeight="1" x14ac:dyDescent="0.3">
      <c r="A101" s="8"/>
      <c r="B101" s="8"/>
      <c r="C101" s="8"/>
      <c r="D101" s="8"/>
      <c r="E101" s="8"/>
      <c r="F101" s="8"/>
      <c r="G101" s="8"/>
      <c r="H101" s="8"/>
      <c r="I101" s="89"/>
      <c r="J101" s="8"/>
      <c r="K101" s="8"/>
      <c r="L101" s="8"/>
      <c r="M101" s="8"/>
      <c r="N101" s="8"/>
      <c r="O101" s="8"/>
      <c r="P101" s="8"/>
      <c r="Q101" s="8"/>
      <c r="R101" s="8"/>
      <c r="S101" s="8"/>
      <c r="T101" s="8"/>
      <c r="U101" s="8"/>
      <c r="V101" s="8"/>
      <c r="W101" s="8"/>
      <c r="X101" s="8"/>
      <c r="Y101" s="8"/>
      <c r="Z101" s="8"/>
    </row>
    <row r="102" spans="1:26" ht="14.25" customHeight="1" x14ac:dyDescent="0.3">
      <c r="A102" s="8"/>
      <c r="B102" s="8"/>
      <c r="C102" s="8"/>
      <c r="D102" s="8"/>
      <c r="E102" s="8"/>
      <c r="F102" s="8"/>
      <c r="G102" s="8"/>
      <c r="H102" s="8"/>
      <c r="I102" s="89"/>
      <c r="J102" s="8"/>
      <c r="K102" s="8"/>
      <c r="L102" s="8"/>
      <c r="M102" s="8"/>
      <c r="N102" s="8"/>
      <c r="O102" s="8"/>
      <c r="P102" s="8"/>
      <c r="Q102" s="8"/>
      <c r="R102" s="8"/>
      <c r="S102" s="8"/>
      <c r="T102" s="8"/>
      <c r="U102" s="8"/>
      <c r="V102" s="8"/>
      <c r="W102" s="8"/>
      <c r="X102" s="8"/>
      <c r="Y102" s="8"/>
      <c r="Z102" s="8"/>
    </row>
    <row r="103" spans="1:26" ht="14.25" customHeight="1" x14ac:dyDescent="0.3">
      <c r="A103" s="8"/>
      <c r="B103" s="8"/>
      <c r="C103" s="8"/>
      <c r="D103" s="8"/>
      <c r="E103" s="8"/>
      <c r="F103" s="8"/>
      <c r="G103" s="8"/>
      <c r="H103" s="8"/>
      <c r="I103" s="89"/>
      <c r="J103" s="8"/>
      <c r="K103" s="8"/>
      <c r="L103" s="8"/>
      <c r="M103" s="8"/>
      <c r="N103" s="8"/>
      <c r="O103" s="8"/>
      <c r="P103" s="8"/>
      <c r="Q103" s="8"/>
      <c r="R103" s="8"/>
      <c r="S103" s="8"/>
      <c r="T103" s="8"/>
      <c r="U103" s="8"/>
      <c r="V103" s="8"/>
      <c r="W103" s="8"/>
      <c r="X103" s="8"/>
      <c r="Y103" s="8"/>
      <c r="Z103" s="8"/>
    </row>
    <row r="104" spans="1:26" ht="14.25" customHeight="1" x14ac:dyDescent="0.3">
      <c r="A104" s="8"/>
      <c r="B104" s="8"/>
      <c r="C104" s="8"/>
      <c r="D104" s="8"/>
      <c r="E104" s="8"/>
      <c r="F104" s="8"/>
      <c r="G104" s="8"/>
      <c r="H104" s="8"/>
      <c r="I104" s="89"/>
      <c r="J104" s="8"/>
      <c r="K104" s="8"/>
      <c r="L104" s="8"/>
      <c r="M104" s="8"/>
      <c r="N104" s="8"/>
      <c r="O104" s="8"/>
      <c r="P104" s="8"/>
      <c r="Q104" s="8"/>
      <c r="R104" s="8"/>
      <c r="S104" s="8"/>
      <c r="T104" s="8"/>
      <c r="U104" s="8"/>
      <c r="V104" s="8"/>
      <c r="W104" s="8"/>
      <c r="X104" s="8"/>
      <c r="Y104" s="8"/>
      <c r="Z104" s="8"/>
    </row>
    <row r="105" spans="1:26" ht="14.25" customHeight="1" x14ac:dyDescent="0.3">
      <c r="A105" s="8"/>
      <c r="B105" s="8"/>
      <c r="C105" s="8"/>
      <c r="D105" s="8"/>
      <c r="E105" s="8"/>
      <c r="F105" s="8"/>
      <c r="G105" s="8"/>
      <c r="H105" s="8"/>
      <c r="I105" s="89"/>
      <c r="J105" s="8"/>
      <c r="K105" s="8"/>
      <c r="L105" s="8"/>
      <c r="M105" s="8"/>
      <c r="N105" s="8"/>
      <c r="O105" s="8"/>
      <c r="P105" s="8"/>
      <c r="Q105" s="8"/>
      <c r="R105" s="8"/>
      <c r="S105" s="8"/>
      <c r="T105" s="8"/>
      <c r="U105" s="8"/>
      <c r="V105" s="8"/>
      <c r="W105" s="8"/>
      <c r="X105" s="8"/>
      <c r="Y105" s="8"/>
      <c r="Z105" s="8"/>
    </row>
    <row r="106" spans="1:26" ht="14.25" customHeight="1" x14ac:dyDescent="0.3">
      <c r="A106" s="8"/>
      <c r="B106" s="8"/>
      <c r="C106" s="8"/>
      <c r="D106" s="8"/>
      <c r="E106" s="8"/>
      <c r="F106" s="8"/>
      <c r="G106" s="8"/>
      <c r="H106" s="8"/>
      <c r="I106" s="89"/>
      <c r="J106" s="8"/>
      <c r="K106" s="8"/>
      <c r="L106" s="8"/>
      <c r="M106" s="8"/>
      <c r="N106" s="8"/>
      <c r="O106" s="8"/>
      <c r="P106" s="8"/>
      <c r="Q106" s="8"/>
      <c r="R106" s="8"/>
      <c r="S106" s="8"/>
      <c r="T106" s="8"/>
      <c r="U106" s="8"/>
      <c r="V106" s="8"/>
      <c r="W106" s="8"/>
      <c r="X106" s="8"/>
      <c r="Y106" s="8"/>
      <c r="Z106" s="8"/>
    </row>
    <row r="107" spans="1:26" ht="14.25" customHeight="1" x14ac:dyDescent="0.3">
      <c r="A107" s="8"/>
      <c r="B107" s="8"/>
      <c r="C107" s="8"/>
      <c r="D107" s="8"/>
      <c r="E107" s="8"/>
      <c r="F107" s="8"/>
      <c r="G107" s="8"/>
      <c r="H107" s="8"/>
      <c r="I107" s="89"/>
      <c r="J107" s="8"/>
      <c r="K107" s="8"/>
      <c r="L107" s="8"/>
      <c r="M107" s="8"/>
      <c r="N107" s="8"/>
      <c r="O107" s="8"/>
      <c r="P107" s="8"/>
      <c r="Q107" s="8"/>
      <c r="R107" s="8"/>
      <c r="S107" s="8"/>
      <c r="T107" s="8"/>
      <c r="U107" s="8"/>
      <c r="V107" s="8"/>
      <c r="W107" s="8"/>
      <c r="X107" s="8"/>
      <c r="Y107" s="8"/>
      <c r="Z107" s="8"/>
    </row>
    <row r="108" spans="1:26" ht="14.25" customHeight="1" x14ac:dyDescent="0.3">
      <c r="A108" s="8"/>
      <c r="B108" s="8"/>
      <c r="C108" s="8"/>
      <c r="D108" s="8"/>
      <c r="E108" s="8"/>
      <c r="F108" s="8"/>
      <c r="G108" s="8"/>
      <c r="H108" s="8"/>
      <c r="I108" s="89"/>
      <c r="J108" s="8"/>
      <c r="K108" s="8"/>
      <c r="L108" s="8"/>
      <c r="M108" s="8"/>
      <c r="N108" s="8"/>
      <c r="O108" s="8"/>
      <c r="P108" s="8"/>
      <c r="Q108" s="8"/>
      <c r="R108" s="8"/>
      <c r="S108" s="8"/>
      <c r="T108" s="8"/>
      <c r="U108" s="8"/>
      <c r="V108" s="8"/>
      <c r="W108" s="8"/>
      <c r="X108" s="8"/>
      <c r="Y108" s="8"/>
      <c r="Z108" s="8"/>
    </row>
    <row r="109" spans="1:26" ht="14.25" customHeight="1" x14ac:dyDescent="0.3">
      <c r="A109" s="8"/>
      <c r="B109" s="8"/>
      <c r="C109" s="8"/>
      <c r="D109" s="8"/>
      <c r="E109" s="8"/>
      <c r="F109" s="8"/>
      <c r="G109" s="8"/>
      <c r="H109" s="8"/>
      <c r="I109" s="89"/>
      <c r="J109" s="8"/>
      <c r="K109" s="8"/>
      <c r="L109" s="8"/>
      <c r="M109" s="8"/>
      <c r="N109" s="8"/>
      <c r="O109" s="8"/>
      <c r="P109" s="8"/>
      <c r="Q109" s="8"/>
      <c r="R109" s="8"/>
      <c r="S109" s="8"/>
      <c r="T109" s="8"/>
      <c r="U109" s="8"/>
      <c r="V109" s="8"/>
      <c r="W109" s="8"/>
      <c r="X109" s="8"/>
      <c r="Y109" s="8"/>
      <c r="Z109" s="8"/>
    </row>
    <row r="110" spans="1:26" ht="14.25" customHeight="1" x14ac:dyDescent="0.3">
      <c r="A110" s="8"/>
      <c r="B110" s="8"/>
      <c r="C110" s="8"/>
      <c r="D110" s="8"/>
      <c r="E110" s="8"/>
      <c r="F110" s="8"/>
      <c r="G110" s="8"/>
      <c r="H110" s="8"/>
      <c r="I110" s="89"/>
      <c r="J110" s="8"/>
      <c r="K110" s="8"/>
      <c r="L110" s="8"/>
      <c r="M110" s="8"/>
      <c r="N110" s="8"/>
      <c r="O110" s="8"/>
      <c r="P110" s="8"/>
      <c r="Q110" s="8"/>
      <c r="R110" s="8"/>
      <c r="S110" s="8"/>
      <c r="T110" s="8"/>
      <c r="U110" s="8"/>
      <c r="V110" s="8"/>
      <c r="W110" s="8"/>
      <c r="X110" s="8"/>
      <c r="Y110" s="8"/>
      <c r="Z110" s="8"/>
    </row>
    <row r="111" spans="1:26" ht="14.25" customHeight="1" x14ac:dyDescent="0.3">
      <c r="A111" s="8"/>
      <c r="B111" s="8"/>
      <c r="C111" s="8"/>
      <c r="D111" s="8"/>
      <c r="E111" s="8"/>
      <c r="F111" s="8"/>
      <c r="G111" s="8"/>
      <c r="H111" s="8"/>
      <c r="I111" s="89"/>
      <c r="J111" s="8"/>
      <c r="K111" s="8"/>
      <c r="L111" s="8"/>
      <c r="M111" s="8"/>
      <c r="N111" s="8"/>
      <c r="O111" s="8"/>
      <c r="P111" s="8"/>
      <c r="Q111" s="8"/>
      <c r="R111" s="8"/>
      <c r="S111" s="8"/>
      <c r="T111" s="8"/>
      <c r="U111" s="8"/>
      <c r="V111" s="8"/>
      <c r="W111" s="8"/>
      <c r="X111" s="8"/>
      <c r="Y111" s="8"/>
      <c r="Z111" s="8"/>
    </row>
    <row r="112" spans="1:26" ht="14.25" customHeight="1" x14ac:dyDescent="0.3">
      <c r="A112" s="8"/>
      <c r="B112" s="8"/>
      <c r="C112" s="8"/>
      <c r="D112" s="8"/>
      <c r="E112" s="8"/>
      <c r="F112" s="8"/>
      <c r="G112" s="8"/>
      <c r="H112" s="8"/>
      <c r="I112" s="89"/>
      <c r="J112" s="8"/>
      <c r="K112" s="8"/>
      <c r="L112" s="8"/>
      <c r="M112" s="8"/>
      <c r="N112" s="8"/>
      <c r="O112" s="8"/>
      <c r="P112" s="8"/>
      <c r="Q112" s="8"/>
      <c r="R112" s="8"/>
      <c r="S112" s="8"/>
      <c r="T112" s="8"/>
      <c r="U112" s="8"/>
      <c r="V112" s="8"/>
      <c r="W112" s="8"/>
      <c r="X112" s="8"/>
      <c r="Y112" s="8"/>
      <c r="Z112" s="8"/>
    </row>
    <row r="113" spans="1:26" ht="14.25" customHeight="1" x14ac:dyDescent="0.3">
      <c r="A113" s="8"/>
      <c r="B113" s="8"/>
      <c r="C113" s="8"/>
      <c r="D113" s="8"/>
      <c r="E113" s="8"/>
      <c r="F113" s="8"/>
      <c r="G113" s="8"/>
      <c r="H113" s="8"/>
      <c r="I113" s="89"/>
      <c r="J113" s="8"/>
      <c r="K113" s="8"/>
      <c r="L113" s="8"/>
      <c r="M113" s="8"/>
      <c r="N113" s="8"/>
      <c r="O113" s="8"/>
      <c r="P113" s="8"/>
      <c r="Q113" s="8"/>
      <c r="R113" s="8"/>
      <c r="S113" s="8"/>
      <c r="T113" s="8"/>
      <c r="U113" s="8"/>
      <c r="V113" s="8"/>
      <c r="W113" s="8"/>
      <c r="X113" s="8"/>
      <c r="Y113" s="8"/>
      <c r="Z113" s="8"/>
    </row>
    <row r="114" spans="1:26" ht="14.25" customHeight="1" x14ac:dyDescent="0.3">
      <c r="A114" s="8"/>
      <c r="B114" s="8"/>
      <c r="C114" s="8"/>
      <c r="D114" s="8"/>
      <c r="E114" s="8"/>
      <c r="F114" s="8"/>
      <c r="G114" s="8"/>
      <c r="H114" s="8"/>
      <c r="I114" s="89"/>
      <c r="J114" s="8"/>
      <c r="K114" s="8"/>
      <c r="L114" s="8"/>
      <c r="M114" s="8"/>
      <c r="N114" s="8"/>
      <c r="O114" s="8"/>
      <c r="P114" s="8"/>
      <c r="Q114" s="8"/>
      <c r="R114" s="8"/>
      <c r="S114" s="8"/>
      <c r="T114" s="8"/>
      <c r="U114" s="8"/>
      <c r="V114" s="8"/>
      <c r="W114" s="8"/>
      <c r="X114" s="8"/>
      <c r="Y114" s="8"/>
      <c r="Z114" s="8"/>
    </row>
    <row r="115" spans="1:26" ht="14.25" customHeight="1" x14ac:dyDescent="0.3">
      <c r="A115" s="8"/>
      <c r="B115" s="8"/>
      <c r="C115" s="8"/>
      <c r="D115" s="8"/>
      <c r="E115" s="8"/>
      <c r="F115" s="8"/>
      <c r="G115" s="8"/>
      <c r="H115" s="8"/>
      <c r="I115" s="89"/>
      <c r="J115" s="8"/>
      <c r="K115" s="8"/>
      <c r="L115" s="8"/>
      <c r="M115" s="8"/>
      <c r="N115" s="8"/>
      <c r="O115" s="8"/>
      <c r="P115" s="8"/>
      <c r="Q115" s="8"/>
      <c r="R115" s="8"/>
      <c r="S115" s="8"/>
      <c r="T115" s="8"/>
      <c r="U115" s="8"/>
      <c r="V115" s="8"/>
      <c r="W115" s="8"/>
      <c r="X115" s="8"/>
      <c r="Y115" s="8"/>
      <c r="Z115" s="8"/>
    </row>
    <row r="116" spans="1:26" ht="14.25" customHeight="1" x14ac:dyDescent="0.3">
      <c r="A116" s="8"/>
      <c r="B116" s="8"/>
      <c r="C116" s="8"/>
      <c r="D116" s="8"/>
      <c r="E116" s="8"/>
      <c r="F116" s="8"/>
      <c r="G116" s="8"/>
      <c r="H116" s="8"/>
      <c r="I116" s="89"/>
      <c r="J116" s="8"/>
      <c r="K116" s="8"/>
      <c r="L116" s="8"/>
      <c r="M116" s="8"/>
      <c r="N116" s="8"/>
      <c r="O116" s="8"/>
      <c r="P116" s="8"/>
      <c r="Q116" s="8"/>
      <c r="R116" s="8"/>
      <c r="S116" s="8"/>
      <c r="T116" s="8"/>
      <c r="U116" s="8"/>
      <c r="V116" s="8"/>
      <c r="W116" s="8"/>
      <c r="X116" s="8"/>
      <c r="Y116" s="8"/>
      <c r="Z116" s="8"/>
    </row>
    <row r="117" spans="1:26" ht="14.25" customHeight="1" x14ac:dyDescent="0.3">
      <c r="A117" s="8"/>
      <c r="B117" s="8"/>
      <c r="C117" s="8"/>
      <c r="D117" s="8"/>
      <c r="E117" s="8"/>
      <c r="F117" s="8"/>
      <c r="G117" s="8"/>
      <c r="H117" s="8"/>
      <c r="I117" s="89"/>
      <c r="J117" s="8"/>
      <c r="K117" s="8"/>
      <c r="L117" s="8"/>
      <c r="M117" s="8"/>
      <c r="N117" s="8"/>
      <c r="O117" s="8"/>
      <c r="P117" s="8"/>
      <c r="Q117" s="8"/>
      <c r="R117" s="8"/>
      <c r="S117" s="8"/>
      <c r="T117" s="8"/>
      <c r="U117" s="8"/>
      <c r="V117" s="8"/>
      <c r="W117" s="8"/>
      <c r="X117" s="8"/>
      <c r="Y117" s="8"/>
      <c r="Z117" s="8"/>
    </row>
    <row r="118" spans="1:26" ht="14.25" customHeight="1" x14ac:dyDescent="0.3">
      <c r="A118" s="8"/>
      <c r="B118" s="8"/>
      <c r="C118" s="8"/>
      <c r="D118" s="8"/>
      <c r="E118" s="8"/>
      <c r="F118" s="8"/>
      <c r="G118" s="8"/>
      <c r="H118" s="8"/>
      <c r="I118" s="89"/>
      <c r="J118" s="8"/>
      <c r="K118" s="8"/>
      <c r="L118" s="8"/>
      <c r="M118" s="8"/>
      <c r="N118" s="8"/>
      <c r="O118" s="8"/>
      <c r="P118" s="8"/>
      <c r="Q118" s="8"/>
      <c r="R118" s="8"/>
      <c r="S118" s="8"/>
      <c r="T118" s="8"/>
      <c r="U118" s="8"/>
      <c r="V118" s="8"/>
      <c r="W118" s="8"/>
      <c r="X118" s="8"/>
      <c r="Y118" s="8"/>
      <c r="Z118" s="8"/>
    </row>
    <row r="119" spans="1:26" ht="14.25" customHeight="1" x14ac:dyDescent="0.3">
      <c r="A119" s="8"/>
      <c r="B119" s="8"/>
      <c r="C119" s="8"/>
      <c r="D119" s="8"/>
      <c r="E119" s="8"/>
      <c r="F119" s="8"/>
      <c r="G119" s="8"/>
      <c r="H119" s="8"/>
      <c r="I119" s="89"/>
      <c r="J119" s="8"/>
      <c r="K119" s="8"/>
      <c r="L119" s="8"/>
      <c r="M119" s="8"/>
      <c r="N119" s="8"/>
      <c r="O119" s="8"/>
      <c r="P119" s="8"/>
      <c r="Q119" s="8"/>
      <c r="R119" s="8"/>
      <c r="S119" s="8"/>
      <c r="T119" s="8"/>
      <c r="U119" s="8"/>
      <c r="V119" s="8"/>
      <c r="W119" s="8"/>
      <c r="X119" s="8"/>
      <c r="Y119" s="8"/>
      <c r="Z119" s="8"/>
    </row>
    <row r="120" spans="1:26" ht="14.25" customHeight="1" x14ac:dyDescent="0.3">
      <c r="A120" s="8"/>
      <c r="B120" s="8"/>
      <c r="C120" s="8"/>
      <c r="D120" s="8"/>
      <c r="E120" s="8"/>
      <c r="F120" s="8"/>
      <c r="G120" s="8"/>
      <c r="H120" s="8"/>
      <c r="I120" s="89"/>
      <c r="J120" s="8"/>
      <c r="K120" s="8"/>
      <c r="L120" s="8"/>
      <c r="M120" s="8"/>
      <c r="N120" s="8"/>
      <c r="O120" s="8"/>
      <c r="P120" s="8"/>
      <c r="Q120" s="8"/>
      <c r="R120" s="8"/>
      <c r="S120" s="8"/>
      <c r="T120" s="8"/>
      <c r="U120" s="8"/>
      <c r="V120" s="8"/>
      <c r="W120" s="8"/>
      <c r="X120" s="8"/>
      <c r="Y120" s="8"/>
      <c r="Z120" s="8"/>
    </row>
    <row r="121" spans="1:26" ht="14.25" customHeight="1" x14ac:dyDescent="0.3">
      <c r="A121" s="8"/>
      <c r="B121" s="8"/>
      <c r="C121" s="8"/>
      <c r="D121" s="8"/>
      <c r="E121" s="8"/>
      <c r="F121" s="8"/>
      <c r="G121" s="8"/>
      <c r="H121" s="8"/>
      <c r="I121" s="89"/>
      <c r="J121" s="8"/>
      <c r="K121" s="8"/>
      <c r="L121" s="8"/>
      <c r="M121" s="8"/>
      <c r="N121" s="8"/>
      <c r="O121" s="8"/>
      <c r="P121" s="8"/>
      <c r="Q121" s="8"/>
      <c r="R121" s="8"/>
      <c r="S121" s="8"/>
      <c r="T121" s="8"/>
      <c r="U121" s="8"/>
      <c r="V121" s="8"/>
      <c r="W121" s="8"/>
      <c r="X121" s="8"/>
      <c r="Y121" s="8"/>
      <c r="Z121" s="8"/>
    </row>
    <row r="122" spans="1:26" ht="14.25" customHeight="1" x14ac:dyDescent="0.3">
      <c r="A122" s="8"/>
      <c r="B122" s="8"/>
      <c r="C122" s="8"/>
      <c r="D122" s="8"/>
      <c r="E122" s="8"/>
      <c r="F122" s="8"/>
      <c r="G122" s="8"/>
      <c r="H122" s="8"/>
      <c r="I122" s="89"/>
      <c r="J122" s="8"/>
      <c r="K122" s="8"/>
      <c r="L122" s="8"/>
      <c r="M122" s="8"/>
      <c r="N122" s="8"/>
      <c r="O122" s="8"/>
      <c r="P122" s="8"/>
      <c r="Q122" s="8"/>
      <c r="R122" s="8"/>
      <c r="S122" s="8"/>
      <c r="T122" s="8"/>
      <c r="U122" s="8"/>
      <c r="V122" s="8"/>
      <c r="W122" s="8"/>
      <c r="X122" s="8"/>
      <c r="Y122" s="8"/>
      <c r="Z122" s="8"/>
    </row>
    <row r="123" spans="1:26" ht="14.25" customHeight="1" x14ac:dyDescent="0.3">
      <c r="A123" s="8"/>
      <c r="B123" s="8"/>
      <c r="C123" s="8"/>
      <c r="D123" s="8"/>
      <c r="E123" s="8"/>
      <c r="F123" s="8"/>
      <c r="G123" s="8"/>
      <c r="H123" s="8"/>
      <c r="I123" s="89"/>
      <c r="J123" s="8"/>
      <c r="K123" s="8"/>
      <c r="L123" s="8"/>
      <c r="M123" s="8"/>
      <c r="N123" s="8"/>
      <c r="O123" s="8"/>
      <c r="P123" s="8"/>
      <c r="Q123" s="8"/>
      <c r="R123" s="8"/>
      <c r="S123" s="8"/>
      <c r="T123" s="8"/>
      <c r="U123" s="8"/>
      <c r="V123" s="8"/>
      <c r="W123" s="8"/>
      <c r="X123" s="8"/>
      <c r="Y123" s="8"/>
      <c r="Z123" s="8"/>
    </row>
    <row r="124" spans="1:26" ht="14.25" customHeight="1" x14ac:dyDescent="0.3">
      <c r="A124" s="8"/>
      <c r="B124" s="8"/>
      <c r="C124" s="8"/>
      <c r="D124" s="8"/>
      <c r="E124" s="8"/>
      <c r="F124" s="8"/>
      <c r="G124" s="8"/>
      <c r="H124" s="8"/>
      <c r="I124" s="89"/>
      <c r="J124" s="8"/>
      <c r="K124" s="8"/>
      <c r="L124" s="8"/>
      <c r="M124" s="8"/>
      <c r="N124" s="8"/>
      <c r="O124" s="8"/>
      <c r="P124" s="8"/>
      <c r="Q124" s="8"/>
      <c r="R124" s="8"/>
      <c r="S124" s="8"/>
      <c r="T124" s="8"/>
      <c r="U124" s="8"/>
      <c r="V124" s="8"/>
      <c r="W124" s="8"/>
      <c r="X124" s="8"/>
      <c r="Y124" s="8"/>
      <c r="Z124" s="8"/>
    </row>
    <row r="125" spans="1:26" ht="14.25" customHeight="1" x14ac:dyDescent="0.3">
      <c r="A125" s="8"/>
      <c r="B125" s="8"/>
      <c r="C125" s="8"/>
      <c r="D125" s="8"/>
      <c r="E125" s="8"/>
      <c r="F125" s="8"/>
      <c r="G125" s="8"/>
      <c r="H125" s="8"/>
      <c r="I125" s="89"/>
      <c r="J125" s="8"/>
      <c r="K125" s="8"/>
      <c r="L125" s="8"/>
      <c r="M125" s="8"/>
      <c r="N125" s="8"/>
      <c r="O125" s="8"/>
      <c r="P125" s="8"/>
      <c r="Q125" s="8"/>
      <c r="R125" s="8"/>
      <c r="S125" s="8"/>
      <c r="T125" s="8"/>
      <c r="U125" s="8"/>
      <c r="V125" s="8"/>
      <c r="W125" s="8"/>
      <c r="X125" s="8"/>
      <c r="Y125" s="8"/>
      <c r="Z125" s="8"/>
    </row>
    <row r="126" spans="1:26" ht="14.25" customHeight="1" x14ac:dyDescent="0.3">
      <c r="A126" s="8"/>
      <c r="B126" s="8"/>
      <c r="C126" s="8"/>
      <c r="D126" s="8"/>
      <c r="E126" s="8"/>
      <c r="F126" s="8"/>
      <c r="G126" s="8"/>
      <c r="H126" s="8"/>
      <c r="I126" s="89"/>
      <c r="J126" s="8"/>
      <c r="K126" s="8"/>
      <c r="L126" s="8"/>
      <c r="M126" s="8"/>
      <c r="N126" s="8"/>
      <c r="O126" s="8"/>
      <c r="P126" s="8"/>
      <c r="Q126" s="8"/>
      <c r="R126" s="8"/>
      <c r="S126" s="8"/>
      <c r="T126" s="8"/>
      <c r="U126" s="8"/>
      <c r="V126" s="8"/>
      <c r="W126" s="8"/>
      <c r="X126" s="8"/>
      <c r="Y126" s="8"/>
      <c r="Z126" s="8"/>
    </row>
    <row r="127" spans="1:26" ht="14.25" customHeight="1" x14ac:dyDescent="0.3">
      <c r="A127" s="8"/>
      <c r="B127" s="8"/>
      <c r="C127" s="8"/>
      <c r="D127" s="8"/>
      <c r="E127" s="8"/>
      <c r="F127" s="8"/>
      <c r="G127" s="8"/>
      <c r="H127" s="8"/>
      <c r="I127" s="89"/>
      <c r="J127" s="8"/>
      <c r="K127" s="8"/>
      <c r="L127" s="8"/>
      <c r="M127" s="8"/>
      <c r="N127" s="8"/>
      <c r="O127" s="8"/>
      <c r="P127" s="8"/>
      <c r="Q127" s="8"/>
      <c r="R127" s="8"/>
      <c r="S127" s="8"/>
      <c r="T127" s="8"/>
      <c r="U127" s="8"/>
      <c r="V127" s="8"/>
      <c r="W127" s="8"/>
      <c r="X127" s="8"/>
      <c r="Y127" s="8"/>
      <c r="Z127" s="8"/>
    </row>
    <row r="128" spans="1:26" ht="14.25" customHeight="1" x14ac:dyDescent="0.3">
      <c r="A128" s="8"/>
      <c r="B128" s="8"/>
      <c r="C128" s="8"/>
      <c r="D128" s="8"/>
      <c r="E128" s="8"/>
      <c r="F128" s="8"/>
      <c r="G128" s="8"/>
      <c r="H128" s="8"/>
      <c r="I128" s="89"/>
      <c r="J128" s="8"/>
      <c r="K128" s="8"/>
      <c r="L128" s="8"/>
      <c r="M128" s="8"/>
      <c r="N128" s="8"/>
      <c r="O128" s="8"/>
      <c r="P128" s="8"/>
      <c r="Q128" s="8"/>
      <c r="R128" s="8"/>
      <c r="S128" s="8"/>
      <c r="T128" s="8"/>
      <c r="U128" s="8"/>
      <c r="V128" s="8"/>
      <c r="W128" s="8"/>
      <c r="X128" s="8"/>
      <c r="Y128" s="8"/>
      <c r="Z128" s="8"/>
    </row>
    <row r="129" spans="1:26" ht="14.25" customHeight="1" x14ac:dyDescent="0.3">
      <c r="A129" s="8"/>
      <c r="B129" s="8"/>
      <c r="C129" s="8"/>
      <c r="D129" s="8"/>
      <c r="E129" s="8"/>
      <c r="F129" s="8"/>
      <c r="G129" s="8"/>
      <c r="H129" s="8"/>
      <c r="I129" s="89"/>
      <c r="J129" s="8"/>
      <c r="K129" s="8"/>
      <c r="L129" s="8"/>
      <c r="M129" s="8"/>
      <c r="N129" s="8"/>
      <c r="O129" s="8"/>
      <c r="P129" s="8"/>
      <c r="Q129" s="8"/>
      <c r="R129" s="8"/>
      <c r="S129" s="8"/>
      <c r="T129" s="8"/>
      <c r="U129" s="8"/>
      <c r="V129" s="8"/>
      <c r="W129" s="8"/>
      <c r="X129" s="8"/>
      <c r="Y129" s="8"/>
      <c r="Z129" s="8"/>
    </row>
    <row r="130" spans="1:26" ht="14.25" customHeight="1" x14ac:dyDescent="0.3">
      <c r="A130" s="8"/>
      <c r="B130" s="8"/>
      <c r="C130" s="8"/>
      <c r="D130" s="8"/>
      <c r="E130" s="8"/>
      <c r="F130" s="8"/>
      <c r="G130" s="8"/>
      <c r="H130" s="8"/>
      <c r="I130" s="89"/>
      <c r="J130" s="8"/>
      <c r="K130" s="8"/>
      <c r="L130" s="8"/>
      <c r="M130" s="8"/>
      <c r="N130" s="8"/>
      <c r="O130" s="8"/>
      <c r="P130" s="8"/>
      <c r="Q130" s="8"/>
      <c r="R130" s="8"/>
      <c r="S130" s="8"/>
      <c r="T130" s="8"/>
      <c r="U130" s="8"/>
      <c r="V130" s="8"/>
      <c r="W130" s="8"/>
      <c r="X130" s="8"/>
      <c r="Y130" s="8"/>
      <c r="Z130" s="8"/>
    </row>
    <row r="131" spans="1:26" ht="14.25" customHeight="1" x14ac:dyDescent="0.3">
      <c r="A131" s="8"/>
      <c r="B131" s="8"/>
      <c r="C131" s="8"/>
      <c r="D131" s="8"/>
      <c r="E131" s="8"/>
      <c r="F131" s="8"/>
      <c r="G131" s="8"/>
      <c r="H131" s="8"/>
      <c r="I131" s="89"/>
      <c r="J131" s="8"/>
      <c r="K131" s="8"/>
      <c r="L131" s="8"/>
      <c r="M131" s="8"/>
      <c r="N131" s="8"/>
      <c r="O131" s="8"/>
      <c r="P131" s="8"/>
      <c r="Q131" s="8"/>
      <c r="R131" s="8"/>
      <c r="S131" s="8"/>
      <c r="T131" s="8"/>
      <c r="U131" s="8"/>
      <c r="V131" s="8"/>
      <c r="W131" s="8"/>
      <c r="X131" s="8"/>
      <c r="Y131" s="8"/>
      <c r="Z131" s="8"/>
    </row>
    <row r="132" spans="1:26" ht="14.25" customHeight="1" x14ac:dyDescent="0.3">
      <c r="A132" s="8"/>
      <c r="B132" s="8"/>
      <c r="C132" s="8"/>
      <c r="D132" s="8"/>
      <c r="E132" s="8"/>
      <c r="F132" s="8"/>
      <c r="G132" s="8"/>
      <c r="H132" s="8"/>
      <c r="I132" s="89"/>
      <c r="J132" s="8"/>
      <c r="K132" s="8"/>
      <c r="L132" s="8"/>
      <c r="M132" s="8"/>
      <c r="N132" s="8"/>
      <c r="O132" s="8"/>
      <c r="P132" s="8"/>
      <c r="Q132" s="8"/>
      <c r="R132" s="8"/>
      <c r="S132" s="8"/>
      <c r="T132" s="8"/>
      <c r="U132" s="8"/>
      <c r="V132" s="8"/>
      <c r="W132" s="8"/>
      <c r="X132" s="8"/>
      <c r="Y132" s="8"/>
      <c r="Z132" s="8"/>
    </row>
    <row r="133" spans="1:26" ht="14.25" customHeight="1" x14ac:dyDescent="0.3">
      <c r="A133" s="8"/>
      <c r="B133" s="8"/>
      <c r="C133" s="8"/>
      <c r="D133" s="8"/>
      <c r="E133" s="8"/>
      <c r="F133" s="8"/>
      <c r="G133" s="8"/>
      <c r="H133" s="8"/>
      <c r="I133" s="89"/>
      <c r="J133" s="8"/>
      <c r="K133" s="8"/>
      <c r="L133" s="8"/>
      <c r="M133" s="8"/>
      <c r="N133" s="8"/>
      <c r="O133" s="8"/>
      <c r="P133" s="8"/>
      <c r="Q133" s="8"/>
      <c r="R133" s="8"/>
      <c r="S133" s="8"/>
      <c r="T133" s="8"/>
      <c r="U133" s="8"/>
      <c r="V133" s="8"/>
      <c r="W133" s="8"/>
      <c r="X133" s="8"/>
      <c r="Y133" s="8"/>
      <c r="Z133" s="8"/>
    </row>
    <row r="134" spans="1:26" ht="14.25" customHeight="1" x14ac:dyDescent="0.3">
      <c r="A134" s="8"/>
      <c r="B134" s="8"/>
      <c r="C134" s="8"/>
      <c r="D134" s="8"/>
      <c r="E134" s="8"/>
      <c r="F134" s="8"/>
      <c r="G134" s="8"/>
      <c r="H134" s="8"/>
      <c r="I134" s="89"/>
      <c r="J134" s="8"/>
      <c r="K134" s="8"/>
      <c r="L134" s="8"/>
      <c r="M134" s="8"/>
      <c r="N134" s="8"/>
      <c r="O134" s="8"/>
      <c r="P134" s="8"/>
      <c r="Q134" s="8"/>
      <c r="R134" s="8"/>
      <c r="S134" s="8"/>
      <c r="T134" s="8"/>
      <c r="U134" s="8"/>
      <c r="V134" s="8"/>
      <c r="W134" s="8"/>
      <c r="X134" s="8"/>
      <c r="Y134" s="8"/>
      <c r="Z134" s="8"/>
    </row>
    <row r="135" spans="1:26" ht="14.25" customHeight="1" x14ac:dyDescent="0.3">
      <c r="A135" s="8"/>
      <c r="B135" s="8"/>
      <c r="C135" s="8"/>
      <c r="D135" s="8"/>
      <c r="E135" s="8"/>
      <c r="F135" s="8"/>
      <c r="G135" s="8"/>
      <c r="H135" s="8"/>
      <c r="I135" s="89"/>
      <c r="J135" s="8"/>
      <c r="K135" s="8"/>
      <c r="L135" s="8"/>
      <c r="M135" s="8"/>
      <c r="N135" s="8"/>
      <c r="O135" s="8"/>
      <c r="P135" s="8"/>
      <c r="Q135" s="8"/>
      <c r="R135" s="8"/>
      <c r="S135" s="8"/>
      <c r="T135" s="8"/>
      <c r="U135" s="8"/>
      <c r="V135" s="8"/>
      <c r="W135" s="8"/>
      <c r="X135" s="8"/>
      <c r="Y135" s="8"/>
      <c r="Z135" s="8"/>
    </row>
    <row r="136" spans="1:26" ht="14.25" customHeight="1" x14ac:dyDescent="0.3">
      <c r="A136" s="8"/>
      <c r="B136" s="8"/>
      <c r="C136" s="8"/>
      <c r="D136" s="8"/>
      <c r="E136" s="8"/>
      <c r="F136" s="8"/>
      <c r="G136" s="8"/>
      <c r="H136" s="8"/>
      <c r="I136" s="89"/>
      <c r="J136" s="8"/>
      <c r="K136" s="8"/>
      <c r="L136" s="8"/>
      <c r="M136" s="8"/>
      <c r="N136" s="8"/>
      <c r="O136" s="8"/>
      <c r="P136" s="8"/>
      <c r="Q136" s="8"/>
      <c r="R136" s="8"/>
      <c r="S136" s="8"/>
      <c r="T136" s="8"/>
      <c r="U136" s="8"/>
      <c r="V136" s="8"/>
      <c r="W136" s="8"/>
      <c r="X136" s="8"/>
      <c r="Y136" s="8"/>
      <c r="Z136" s="8"/>
    </row>
    <row r="137" spans="1:26" ht="14.25" customHeight="1" x14ac:dyDescent="0.3">
      <c r="A137" s="8"/>
      <c r="B137" s="8"/>
      <c r="C137" s="8"/>
      <c r="D137" s="8"/>
      <c r="E137" s="8"/>
      <c r="F137" s="8"/>
      <c r="G137" s="8"/>
      <c r="H137" s="8"/>
      <c r="I137" s="89"/>
      <c r="J137" s="8"/>
      <c r="K137" s="8"/>
      <c r="L137" s="8"/>
      <c r="M137" s="8"/>
      <c r="N137" s="8"/>
      <c r="O137" s="8"/>
      <c r="P137" s="8"/>
      <c r="Q137" s="8"/>
      <c r="R137" s="8"/>
      <c r="S137" s="8"/>
      <c r="T137" s="8"/>
      <c r="U137" s="8"/>
      <c r="V137" s="8"/>
      <c r="W137" s="8"/>
      <c r="X137" s="8"/>
      <c r="Y137" s="8"/>
      <c r="Z137" s="8"/>
    </row>
    <row r="138" spans="1:26" ht="14.25" customHeight="1" x14ac:dyDescent="0.3">
      <c r="A138" s="8"/>
      <c r="B138" s="8"/>
      <c r="C138" s="8"/>
      <c r="D138" s="8"/>
      <c r="E138" s="8"/>
      <c r="F138" s="8"/>
      <c r="G138" s="8"/>
      <c r="H138" s="8"/>
      <c r="I138" s="89"/>
      <c r="J138" s="8"/>
      <c r="K138" s="8"/>
      <c r="L138" s="8"/>
      <c r="M138" s="8"/>
      <c r="N138" s="8"/>
      <c r="O138" s="8"/>
      <c r="P138" s="8"/>
      <c r="Q138" s="8"/>
      <c r="R138" s="8"/>
      <c r="S138" s="8"/>
      <c r="T138" s="8"/>
      <c r="U138" s="8"/>
      <c r="V138" s="8"/>
      <c r="W138" s="8"/>
      <c r="X138" s="8"/>
      <c r="Y138" s="8"/>
      <c r="Z138" s="8"/>
    </row>
    <row r="139" spans="1:26" ht="14.25" customHeight="1" x14ac:dyDescent="0.3">
      <c r="A139" s="8"/>
      <c r="B139" s="8"/>
      <c r="C139" s="8"/>
      <c r="D139" s="8"/>
      <c r="E139" s="8"/>
      <c r="F139" s="8"/>
      <c r="G139" s="8"/>
      <c r="H139" s="8"/>
      <c r="I139" s="89"/>
      <c r="J139" s="8"/>
      <c r="K139" s="8"/>
      <c r="L139" s="8"/>
      <c r="M139" s="8"/>
      <c r="N139" s="8"/>
      <c r="O139" s="8"/>
      <c r="P139" s="8"/>
      <c r="Q139" s="8"/>
      <c r="R139" s="8"/>
      <c r="S139" s="8"/>
      <c r="T139" s="8"/>
      <c r="U139" s="8"/>
      <c r="V139" s="8"/>
      <c r="W139" s="8"/>
      <c r="X139" s="8"/>
      <c r="Y139" s="8"/>
      <c r="Z139" s="8"/>
    </row>
    <row r="140" spans="1:26" ht="14.25" customHeight="1" x14ac:dyDescent="0.3">
      <c r="A140" s="8"/>
      <c r="B140" s="8"/>
      <c r="C140" s="8"/>
      <c r="D140" s="8"/>
      <c r="E140" s="8"/>
      <c r="F140" s="8"/>
      <c r="G140" s="8"/>
      <c r="H140" s="8"/>
      <c r="I140" s="89"/>
      <c r="J140" s="8"/>
      <c r="K140" s="8"/>
      <c r="L140" s="8"/>
      <c r="M140" s="8"/>
      <c r="N140" s="8"/>
      <c r="O140" s="8"/>
      <c r="P140" s="8"/>
      <c r="Q140" s="8"/>
      <c r="R140" s="8"/>
      <c r="S140" s="8"/>
      <c r="T140" s="8"/>
      <c r="U140" s="8"/>
      <c r="V140" s="8"/>
      <c r="W140" s="8"/>
      <c r="X140" s="8"/>
      <c r="Y140" s="8"/>
      <c r="Z140" s="8"/>
    </row>
    <row r="141" spans="1:26" ht="14.25" customHeight="1" x14ac:dyDescent="0.3">
      <c r="A141" s="8"/>
      <c r="B141" s="8"/>
      <c r="C141" s="8"/>
      <c r="D141" s="8"/>
      <c r="E141" s="8"/>
      <c r="F141" s="8"/>
      <c r="G141" s="8"/>
      <c r="H141" s="8"/>
      <c r="I141" s="89"/>
      <c r="J141" s="8"/>
      <c r="K141" s="8"/>
      <c r="L141" s="8"/>
      <c r="M141" s="8"/>
      <c r="N141" s="8"/>
      <c r="O141" s="8"/>
      <c r="P141" s="8"/>
      <c r="Q141" s="8"/>
      <c r="R141" s="8"/>
      <c r="S141" s="8"/>
      <c r="T141" s="8"/>
      <c r="U141" s="8"/>
      <c r="V141" s="8"/>
      <c r="W141" s="8"/>
      <c r="X141" s="8"/>
      <c r="Y141" s="8"/>
      <c r="Z141" s="8"/>
    </row>
    <row r="142" spans="1:26" ht="14.25" customHeight="1" x14ac:dyDescent="0.3">
      <c r="A142" s="8"/>
      <c r="B142" s="8"/>
      <c r="C142" s="8"/>
      <c r="D142" s="8"/>
      <c r="E142" s="8"/>
      <c r="F142" s="8"/>
      <c r="G142" s="8"/>
      <c r="H142" s="8"/>
      <c r="I142" s="89"/>
      <c r="J142" s="8"/>
      <c r="K142" s="8"/>
      <c r="L142" s="8"/>
      <c r="M142" s="8"/>
      <c r="N142" s="8"/>
      <c r="O142" s="8"/>
      <c r="P142" s="8"/>
      <c r="Q142" s="8"/>
      <c r="R142" s="8"/>
      <c r="S142" s="8"/>
      <c r="T142" s="8"/>
      <c r="U142" s="8"/>
      <c r="V142" s="8"/>
      <c r="W142" s="8"/>
      <c r="X142" s="8"/>
      <c r="Y142" s="8"/>
      <c r="Z142" s="8"/>
    </row>
    <row r="143" spans="1:26" ht="14.25" customHeight="1" x14ac:dyDescent="0.3">
      <c r="A143" s="8"/>
      <c r="B143" s="8"/>
      <c r="C143" s="8"/>
      <c r="D143" s="8"/>
      <c r="E143" s="8"/>
      <c r="F143" s="8"/>
      <c r="G143" s="8"/>
      <c r="H143" s="8"/>
      <c r="I143" s="89"/>
      <c r="J143" s="8"/>
      <c r="K143" s="8"/>
      <c r="L143" s="8"/>
      <c r="M143" s="8"/>
      <c r="N143" s="8"/>
      <c r="O143" s="8"/>
      <c r="P143" s="8"/>
      <c r="Q143" s="8"/>
      <c r="R143" s="8"/>
      <c r="S143" s="8"/>
      <c r="T143" s="8"/>
      <c r="U143" s="8"/>
      <c r="V143" s="8"/>
      <c r="W143" s="8"/>
      <c r="X143" s="8"/>
      <c r="Y143" s="8"/>
      <c r="Z143" s="8"/>
    </row>
    <row r="144" spans="1:26" ht="14.25" customHeight="1" x14ac:dyDescent="0.3">
      <c r="A144" s="8"/>
      <c r="B144" s="8"/>
      <c r="C144" s="8"/>
      <c r="D144" s="8"/>
      <c r="E144" s="8"/>
      <c r="F144" s="8"/>
      <c r="G144" s="8"/>
      <c r="H144" s="8"/>
      <c r="I144" s="89"/>
      <c r="J144" s="8"/>
      <c r="K144" s="8"/>
      <c r="L144" s="8"/>
      <c r="M144" s="8"/>
      <c r="N144" s="8"/>
      <c r="O144" s="8"/>
      <c r="P144" s="8"/>
      <c r="Q144" s="8"/>
      <c r="R144" s="8"/>
      <c r="S144" s="8"/>
      <c r="T144" s="8"/>
      <c r="U144" s="8"/>
      <c r="V144" s="8"/>
      <c r="W144" s="8"/>
      <c r="X144" s="8"/>
      <c r="Y144" s="8"/>
      <c r="Z144" s="8"/>
    </row>
    <row r="145" spans="1:26" ht="14.25" customHeight="1" x14ac:dyDescent="0.3">
      <c r="A145" s="8"/>
      <c r="B145" s="8"/>
      <c r="C145" s="8"/>
      <c r="D145" s="8"/>
      <c r="E145" s="8"/>
      <c r="F145" s="8"/>
      <c r="G145" s="8"/>
      <c r="H145" s="8"/>
      <c r="I145" s="89"/>
      <c r="J145" s="8"/>
      <c r="K145" s="8"/>
      <c r="L145" s="8"/>
      <c r="M145" s="8"/>
      <c r="N145" s="8"/>
      <c r="O145" s="8"/>
      <c r="P145" s="8"/>
      <c r="Q145" s="8"/>
      <c r="R145" s="8"/>
      <c r="S145" s="8"/>
      <c r="T145" s="8"/>
      <c r="U145" s="8"/>
      <c r="V145" s="8"/>
      <c r="W145" s="8"/>
      <c r="X145" s="8"/>
      <c r="Y145" s="8"/>
      <c r="Z145" s="8"/>
    </row>
    <row r="146" spans="1:26" ht="14.25" customHeight="1" x14ac:dyDescent="0.3">
      <c r="A146" s="8"/>
      <c r="B146" s="8"/>
      <c r="C146" s="8"/>
      <c r="D146" s="8"/>
      <c r="E146" s="8"/>
      <c r="F146" s="8"/>
      <c r="G146" s="8"/>
      <c r="H146" s="8"/>
      <c r="I146" s="89"/>
      <c r="J146" s="8"/>
      <c r="K146" s="8"/>
      <c r="L146" s="8"/>
      <c r="M146" s="8"/>
      <c r="N146" s="8"/>
      <c r="O146" s="8"/>
      <c r="P146" s="8"/>
      <c r="Q146" s="8"/>
      <c r="R146" s="8"/>
      <c r="S146" s="8"/>
      <c r="T146" s="8"/>
      <c r="U146" s="8"/>
      <c r="V146" s="8"/>
      <c r="W146" s="8"/>
      <c r="X146" s="8"/>
      <c r="Y146" s="8"/>
      <c r="Z146" s="8"/>
    </row>
    <row r="147" spans="1:26" ht="14.25" customHeight="1" x14ac:dyDescent="0.3">
      <c r="A147" s="8"/>
      <c r="B147" s="8"/>
      <c r="C147" s="8"/>
      <c r="D147" s="8"/>
      <c r="E147" s="8"/>
      <c r="F147" s="8"/>
      <c r="G147" s="8"/>
      <c r="H147" s="8"/>
      <c r="I147" s="89"/>
      <c r="J147" s="8"/>
      <c r="K147" s="8"/>
      <c r="L147" s="8"/>
      <c r="M147" s="8"/>
      <c r="N147" s="8"/>
      <c r="O147" s="8"/>
      <c r="P147" s="8"/>
      <c r="Q147" s="8"/>
      <c r="R147" s="8"/>
      <c r="S147" s="8"/>
      <c r="T147" s="8"/>
      <c r="U147" s="8"/>
      <c r="V147" s="8"/>
      <c r="W147" s="8"/>
      <c r="X147" s="8"/>
      <c r="Y147" s="8"/>
      <c r="Z147" s="8"/>
    </row>
    <row r="148" spans="1:26" ht="14.25" customHeight="1" x14ac:dyDescent="0.3">
      <c r="A148" s="8"/>
      <c r="B148" s="8"/>
      <c r="C148" s="8"/>
      <c r="D148" s="8"/>
      <c r="E148" s="8"/>
      <c r="F148" s="8"/>
      <c r="G148" s="8"/>
      <c r="H148" s="8"/>
      <c r="I148" s="89"/>
      <c r="J148" s="8"/>
      <c r="K148" s="8"/>
      <c r="L148" s="8"/>
      <c r="M148" s="8"/>
      <c r="N148" s="8"/>
      <c r="O148" s="8"/>
      <c r="P148" s="8"/>
      <c r="Q148" s="8"/>
      <c r="R148" s="8"/>
      <c r="S148" s="8"/>
      <c r="T148" s="8"/>
      <c r="U148" s="8"/>
      <c r="V148" s="8"/>
      <c r="W148" s="8"/>
      <c r="X148" s="8"/>
      <c r="Y148" s="8"/>
      <c r="Z148" s="8"/>
    </row>
    <row r="149" spans="1:26" ht="14.25" customHeight="1" x14ac:dyDescent="0.3">
      <c r="A149" s="8"/>
      <c r="B149" s="8"/>
      <c r="C149" s="8"/>
      <c r="D149" s="8"/>
      <c r="E149" s="8"/>
      <c r="F149" s="8"/>
      <c r="G149" s="8"/>
      <c r="H149" s="8"/>
      <c r="I149" s="89"/>
      <c r="J149" s="8"/>
      <c r="K149" s="8"/>
      <c r="L149" s="8"/>
      <c r="M149" s="8"/>
      <c r="N149" s="8"/>
      <c r="O149" s="8"/>
      <c r="P149" s="8"/>
      <c r="Q149" s="8"/>
      <c r="R149" s="8"/>
      <c r="S149" s="8"/>
      <c r="T149" s="8"/>
      <c r="U149" s="8"/>
      <c r="V149" s="8"/>
      <c r="W149" s="8"/>
      <c r="X149" s="8"/>
      <c r="Y149" s="8"/>
      <c r="Z149" s="8"/>
    </row>
    <row r="150" spans="1:26" ht="14.25" customHeight="1" x14ac:dyDescent="0.3">
      <c r="A150" s="8"/>
      <c r="B150" s="8"/>
      <c r="C150" s="8"/>
      <c r="D150" s="8"/>
      <c r="E150" s="8"/>
      <c r="F150" s="8"/>
      <c r="G150" s="8"/>
      <c r="H150" s="8"/>
      <c r="I150" s="89"/>
      <c r="J150" s="8"/>
      <c r="K150" s="8"/>
      <c r="L150" s="8"/>
      <c r="M150" s="8"/>
      <c r="N150" s="8"/>
      <c r="O150" s="8"/>
      <c r="P150" s="8"/>
      <c r="Q150" s="8"/>
      <c r="R150" s="8"/>
      <c r="S150" s="8"/>
      <c r="T150" s="8"/>
      <c r="U150" s="8"/>
      <c r="V150" s="8"/>
      <c r="W150" s="8"/>
      <c r="X150" s="8"/>
      <c r="Y150" s="8"/>
      <c r="Z150" s="8"/>
    </row>
    <row r="151" spans="1:26" ht="14.25" customHeight="1" x14ac:dyDescent="0.3">
      <c r="A151" s="8"/>
      <c r="B151" s="8"/>
      <c r="C151" s="8"/>
      <c r="D151" s="8"/>
      <c r="E151" s="8"/>
      <c r="F151" s="8"/>
      <c r="G151" s="8"/>
      <c r="H151" s="8"/>
      <c r="I151" s="89"/>
      <c r="J151" s="8"/>
      <c r="K151" s="8"/>
      <c r="L151" s="8"/>
      <c r="M151" s="8"/>
      <c r="N151" s="8"/>
      <c r="O151" s="8"/>
      <c r="P151" s="8"/>
      <c r="Q151" s="8"/>
      <c r="R151" s="8"/>
      <c r="S151" s="8"/>
      <c r="T151" s="8"/>
      <c r="U151" s="8"/>
      <c r="V151" s="8"/>
      <c r="W151" s="8"/>
      <c r="X151" s="8"/>
      <c r="Y151" s="8"/>
      <c r="Z151" s="8"/>
    </row>
    <row r="152" spans="1:26" ht="14.25" customHeight="1" x14ac:dyDescent="0.3">
      <c r="A152" s="8"/>
      <c r="B152" s="8"/>
      <c r="C152" s="8"/>
      <c r="D152" s="8"/>
      <c r="E152" s="8"/>
      <c r="F152" s="8"/>
      <c r="G152" s="8"/>
      <c r="H152" s="8"/>
      <c r="I152" s="89"/>
      <c r="J152" s="8"/>
      <c r="K152" s="8"/>
      <c r="L152" s="8"/>
      <c r="M152" s="8"/>
      <c r="N152" s="8"/>
      <c r="O152" s="8"/>
      <c r="P152" s="8"/>
      <c r="Q152" s="8"/>
      <c r="R152" s="8"/>
      <c r="S152" s="8"/>
      <c r="T152" s="8"/>
      <c r="U152" s="8"/>
      <c r="V152" s="8"/>
      <c r="W152" s="8"/>
      <c r="X152" s="8"/>
      <c r="Y152" s="8"/>
      <c r="Z152" s="8"/>
    </row>
    <row r="153" spans="1:26" ht="14.25" customHeight="1" x14ac:dyDescent="0.3">
      <c r="A153" s="8"/>
      <c r="B153" s="8"/>
      <c r="C153" s="8"/>
      <c r="D153" s="8"/>
      <c r="E153" s="8"/>
      <c r="F153" s="8"/>
      <c r="G153" s="8"/>
      <c r="H153" s="8"/>
      <c r="I153" s="89"/>
      <c r="J153" s="8"/>
      <c r="K153" s="8"/>
      <c r="L153" s="8"/>
      <c r="M153" s="8"/>
      <c r="N153" s="8"/>
      <c r="O153" s="8"/>
      <c r="P153" s="8"/>
      <c r="Q153" s="8"/>
      <c r="R153" s="8"/>
      <c r="S153" s="8"/>
      <c r="T153" s="8"/>
      <c r="U153" s="8"/>
      <c r="V153" s="8"/>
      <c r="W153" s="8"/>
      <c r="X153" s="8"/>
      <c r="Y153" s="8"/>
      <c r="Z153" s="8"/>
    </row>
    <row r="154" spans="1:26" ht="14.25" customHeight="1" x14ac:dyDescent="0.3">
      <c r="A154" s="8"/>
      <c r="B154" s="8"/>
      <c r="C154" s="8"/>
      <c r="D154" s="8"/>
      <c r="E154" s="8"/>
      <c r="F154" s="8"/>
      <c r="G154" s="8"/>
      <c r="H154" s="8"/>
      <c r="I154" s="89"/>
      <c r="J154" s="8"/>
      <c r="K154" s="8"/>
      <c r="L154" s="8"/>
      <c r="M154" s="8"/>
      <c r="N154" s="8"/>
      <c r="O154" s="8"/>
      <c r="P154" s="8"/>
      <c r="Q154" s="8"/>
      <c r="R154" s="8"/>
      <c r="S154" s="8"/>
      <c r="T154" s="8"/>
      <c r="U154" s="8"/>
      <c r="V154" s="8"/>
      <c r="W154" s="8"/>
      <c r="X154" s="8"/>
      <c r="Y154" s="8"/>
      <c r="Z154" s="8"/>
    </row>
    <row r="155" spans="1:26" ht="14.25" customHeight="1" x14ac:dyDescent="0.3">
      <c r="A155" s="8"/>
      <c r="B155" s="8"/>
      <c r="C155" s="8"/>
      <c r="D155" s="8"/>
      <c r="E155" s="8"/>
      <c r="F155" s="8"/>
      <c r="G155" s="8"/>
      <c r="H155" s="8"/>
      <c r="I155" s="89"/>
      <c r="J155" s="8"/>
      <c r="K155" s="8"/>
      <c r="L155" s="8"/>
      <c r="M155" s="8"/>
      <c r="N155" s="8"/>
      <c r="O155" s="8"/>
      <c r="P155" s="8"/>
      <c r="Q155" s="8"/>
      <c r="R155" s="8"/>
      <c r="S155" s="8"/>
      <c r="T155" s="8"/>
      <c r="U155" s="8"/>
      <c r="V155" s="8"/>
      <c r="W155" s="8"/>
      <c r="X155" s="8"/>
      <c r="Y155" s="8"/>
      <c r="Z155" s="8"/>
    </row>
    <row r="156" spans="1:26" ht="14.25" customHeight="1" x14ac:dyDescent="0.3">
      <c r="A156" s="8"/>
      <c r="B156" s="8"/>
      <c r="C156" s="8"/>
      <c r="D156" s="8"/>
      <c r="E156" s="8"/>
      <c r="F156" s="8"/>
      <c r="G156" s="8"/>
      <c r="H156" s="8"/>
      <c r="I156" s="89"/>
      <c r="J156" s="8"/>
      <c r="K156" s="8"/>
      <c r="L156" s="8"/>
      <c r="M156" s="8"/>
      <c r="N156" s="8"/>
      <c r="O156" s="8"/>
      <c r="P156" s="8"/>
      <c r="Q156" s="8"/>
      <c r="R156" s="8"/>
      <c r="S156" s="8"/>
      <c r="T156" s="8"/>
      <c r="U156" s="8"/>
      <c r="V156" s="8"/>
      <c r="W156" s="8"/>
      <c r="X156" s="8"/>
      <c r="Y156" s="8"/>
      <c r="Z156" s="8"/>
    </row>
    <row r="157" spans="1:26" ht="14.25" customHeight="1" x14ac:dyDescent="0.3">
      <c r="A157" s="8"/>
      <c r="B157" s="8"/>
      <c r="C157" s="8"/>
      <c r="D157" s="8"/>
      <c r="E157" s="8"/>
      <c r="F157" s="8"/>
      <c r="G157" s="8"/>
      <c r="H157" s="8"/>
      <c r="I157" s="89"/>
      <c r="J157" s="8"/>
      <c r="K157" s="8"/>
      <c r="L157" s="8"/>
      <c r="M157" s="8"/>
      <c r="N157" s="8"/>
      <c r="O157" s="8"/>
      <c r="P157" s="8"/>
      <c r="Q157" s="8"/>
      <c r="R157" s="8"/>
      <c r="S157" s="8"/>
      <c r="T157" s="8"/>
      <c r="U157" s="8"/>
      <c r="V157" s="8"/>
      <c r="W157" s="8"/>
      <c r="X157" s="8"/>
      <c r="Y157" s="8"/>
      <c r="Z157" s="8"/>
    </row>
    <row r="158" spans="1:26" ht="14.25" customHeight="1" x14ac:dyDescent="0.3">
      <c r="A158" s="8"/>
      <c r="B158" s="8"/>
      <c r="C158" s="8"/>
      <c r="D158" s="8"/>
      <c r="E158" s="8"/>
      <c r="F158" s="8"/>
      <c r="G158" s="8"/>
      <c r="H158" s="8"/>
      <c r="I158" s="89"/>
      <c r="J158" s="8"/>
      <c r="K158" s="8"/>
      <c r="L158" s="8"/>
      <c r="M158" s="8"/>
      <c r="N158" s="8"/>
      <c r="O158" s="8"/>
      <c r="P158" s="8"/>
      <c r="Q158" s="8"/>
      <c r="R158" s="8"/>
      <c r="S158" s="8"/>
      <c r="T158" s="8"/>
      <c r="U158" s="8"/>
      <c r="V158" s="8"/>
      <c r="W158" s="8"/>
      <c r="X158" s="8"/>
      <c r="Y158" s="8"/>
      <c r="Z158" s="8"/>
    </row>
    <row r="159" spans="1:26" ht="14.25" customHeight="1" x14ac:dyDescent="0.3">
      <c r="A159" s="8"/>
      <c r="B159" s="8"/>
      <c r="C159" s="8"/>
      <c r="D159" s="8"/>
      <c r="E159" s="8"/>
      <c r="F159" s="8"/>
      <c r="G159" s="8"/>
      <c r="H159" s="8"/>
      <c r="I159" s="89"/>
      <c r="J159" s="8"/>
      <c r="K159" s="8"/>
      <c r="L159" s="8"/>
      <c r="M159" s="8"/>
      <c r="N159" s="8"/>
      <c r="O159" s="8"/>
      <c r="P159" s="8"/>
      <c r="Q159" s="8"/>
      <c r="R159" s="8"/>
      <c r="S159" s="8"/>
      <c r="T159" s="8"/>
      <c r="U159" s="8"/>
      <c r="V159" s="8"/>
      <c r="W159" s="8"/>
      <c r="X159" s="8"/>
      <c r="Y159" s="8"/>
      <c r="Z159" s="8"/>
    </row>
    <row r="160" spans="1:26" ht="14.25" customHeight="1" x14ac:dyDescent="0.3">
      <c r="A160" s="8"/>
      <c r="B160" s="8"/>
      <c r="C160" s="8"/>
      <c r="D160" s="8"/>
      <c r="E160" s="8"/>
      <c r="F160" s="8"/>
      <c r="G160" s="8"/>
      <c r="H160" s="8"/>
      <c r="I160" s="89"/>
      <c r="J160" s="8"/>
      <c r="K160" s="8"/>
      <c r="L160" s="8"/>
      <c r="M160" s="8"/>
      <c r="N160" s="8"/>
      <c r="O160" s="8"/>
      <c r="P160" s="8"/>
      <c r="Q160" s="8"/>
      <c r="R160" s="8"/>
      <c r="S160" s="8"/>
      <c r="T160" s="8"/>
      <c r="U160" s="8"/>
      <c r="V160" s="8"/>
      <c r="W160" s="8"/>
      <c r="X160" s="8"/>
      <c r="Y160" s="8"/>
      <c r="Z160" s="8"/>
    </row>
    <row r="161" spans="1:26" ht="14.25" customHeight="1" x14ac:dyDescent="0.3">
      <c r="A161" s="8"/>
      <c r="B161" s="8"/>
      <c r="C161" s="8"/>
      <c r="D161" s="8"/>
      <c r="E161" s="8"/>
      <c r="F161" s="8"/>
      <c r="G161" s="8"/>
      <c r="H161" s="8"/>
      <c r="I161" s="89"/>
      <c r="J161" s="8"/>
      <c r="K161" s="8"/>
      <c r="L161" s="8"/>
      <c r="M161" s="8"/>
      <c r="N161" s="8"/>
      <c r="O161" s="8"/>
      <c r="P161" s="8"/>
      <c r="Q161" s="8"/>
      <c r="R161" s="8"/>
      <c r="S161" s="8"/>
      <c r="T161" s="8"/>
      <c r="U161" s="8"/>
      <c r="V161" s="8"/>
      <c r="W161" s="8"/>
      <c r="X161" s="8"/>
      <c r="Y161" s="8"/>
      <c r="Z161" s="8"/>
    </row>
    <row r="162" spans="1:26" ht="14.25" customHeight="1" x14ac:dyDescent="0.3">
      <c r="A162" s="8"/>
      <c r="B162" s="8"/>
      <c r="C162" s="8"/>
      <c r="D162" s="8"/>
      <c r="E162" s="8"/>
      <c r="F162" s="8"/>
      <c r="G162" s="8"/>
      <c r="H162" s="8"/>
      <c r="I162" s="89"/>
      <c r="J162" s="8"/>
      <c r="K162" s="8"/>
      <c r="L162" s="8"/>
      <c r="M162" s="8"/>
      <c r="N162" s="8"/>
      <c r="O162" s="8"/>
      <c r="P162" s="8"/>
      <c r="Q162" s="8"/>
      <c r="R162" s="8"/>
      <c r="S162" s="8"/>
      <c r="T162" s="8"/>
      <c r="U162" s="8"/>
      <c r="V162" s="8"/>
      <c r="W162" s="8"/>
      <c r="X162" s="8"/>
      <c r="Y162" s="8"/>
      <c r="Z162" s="8"/>
    </row>
    <row r="163" spans="1:26" ht="14.25" customHeight="1" x14ac:dyDescent="0.3">
      <c r="A163" s="8"/>
      <c r="B163" s="8"/>
      <c r="C163" s="8"/>
      <c r="D163" s="8"/>
      <c r="E163" s="8"/>
      <c r="F163" s="8"/>
      <c r="G163" s="8"/>
      <c r="H163" s="8"/>
      <c r="I163" s="89"/>
      <c r="J163" s="8"/>
      <c r="K163" s="8"/>
      <c r="L163" s="8"/>
      <c r="M163" s="8"/>
      <c r="N163" s="8"/>
      <c r="O163" s="8"/>
      <c r="P163" s="8"/>
      <c r="Q163" s="8"/>
      <c r="R163" s="8"/>
      <c r="S163" s="8"/>
      <c r="T163" s="8"/>
      <c r="U163" s="8"/>
      <c r="V163" s="8"/>
      <c r="W163" s="8"/>
      <c r="X163" s="8"/>
      <c r="Y163" s="8"/>
      <c r="Z163" s="8"/>
    </row>
    <row r="164" spans="1:26" ht="14.25" customHeight="1" x14ac:dyDescent="0.3">
      <c r="A164" s="8"/>
      <c r="B164" s="8"/>
      <c r="C164" s="8"/>
      <c r="D164" s="8"/>
      <c r="E164" s="8"/>
      <c r="F164" s="8"/>
      <c r="G164" s="8"/>
      <c r="H164" s="8"/>
      <c r="I164" s="89"/>
      <c r="J164" s="8"/>
      <c r="K164" s="8"/>
      <c r="L164" s="8"/>
      <c r="M164" s="8"/>
      <c r="N164" s="8"/>
      <c r="O164" s="8"/>
      <c r="P164" s="8"/>
      <c r="Q164" s="8"/>
      <c r="R164" s="8"/>
      <c r="S164" s="8"/>
      <c r="T164" s="8"/>
      <c r="U164" s="8"/>
      <c r="V164" s="8"/>
      <c r="W164" s="8"/>
      <c r="X164" s="8"/>
      <c r="Y164" s="8"/>
      <c r="Z164" s="8"/>
    </row>
    <row r="165" spans="1:26" ht="14.25" customHeight="1" x14ac:dyDescent="0.3">
      <c r="A165" s="8"/>
      <c r="B165" s="8"/>
      <c r="C165" s="8"/>
      <c r="D165" s="8"/>
      <c r="E165" s="8"/>
      <c r="F165" s="8"/>
      <c r="G165" s="8"/>
      <c r="H165" s="8"/>
      <c r="I165" s="89"/>
      <c r="J165" s="8"/>
      <c r="K165" s="8"/>
      <c r="L165" s="8"/>
      <c r="M165" s="8"/>
      <c r="N165" s="8"/>
      <c r="O165" s="8"/>
      <c r="P165" s="8"/>
      <c r="Q165" s="8"/>
      <c r="R165" s="8"/>
      <c r="S165" s="8"/>
      <c r="T165" s="8"/>
      <c r="U165" s="8"/>
      <c r="V165" s="8"/>
      <c r="W165" s="8"/>
      <c r="X165" s="8"/>
      <c r="Y165" s="8"/>
      <c r="Z165" s="8"/>
    </row>
    <row r="166" spans="1:26" ht="14.25" customHeight="1" x14ac:dyDescent="0.3">
      <c r="A166" s="8"/>
      <c r="B166" s="8"/>
      <c r="C166" s="8"/>
      <c r="D166" s="8"/>
      <c r="E166" s="8"/>
      <c r="F166" s="8"/>
      <c r="G166" s="8"/>
      <c r="H166" s="8"/>
      <c r="I166" s="89"/>
      <c r="J166" s="8"/>
      <c r="K166" s="8"/>
      <c r="L166" s="8"/>
      <c r="M166" s="8"/>
      <c r="N166" s="8"/>
      <c r="O166" s="8"/>
      <c r="P166" s="8"/>
      <c r="Q166" s="8"/>
      <c r="R166" s="8"/>
      <c r="S166" s="8"/>
      <c r="T166" s="8"/>
      <c r="U166" s="8"/>
      <c r="V166" s="8"/>
      <c r="W166" s="8"/>
      <c r="X166" s="8"/>
      <c r="Y166" s="8"/>
      <c r="Z166" s="8"/>
    </row>
    <row r="167" spans="1:26" ht="14.25" customHeight="1" x14ac:dyDescent="0.3">
      <c r="A167" s="8"/>
      <c r="B167" s="8"/>
      <c r="C167" s="8"/>
      <c r="D167" s="8"/>
      <c r="E167" s="8"/>
      <c r="F167" s="8"/>
      <c r="G167" s="8"/>
      <c r="H167" s="8"/>
      <c r="I167" s="89"/>
      <c r="J167" s="8"/>
      <c r="K167" s="8"/>
      <c r="L167" s="8"/>
      <c r="M167" s="8"/>
      <c r="N167" s="8"/>
      <c r="O167" s="8"/>
      <c r="P167" s="8"/>
      <c r="Q167" s="8"/>
      <c r="R167" s="8"/>
      <c r="S167" s="8"/>
      <c r="T167" s="8"/>
      <c r="U167" s="8"/>
      <c r="V167" s="8"/>
      <c r="W167" s="8"/>
      <c r="X167" s="8"/>
      <c r="Y167" s="8"/>
      <c r="Z167" s="8"/>
    </row>
    <row r="168" spans="1:26" ht="14.25" customHeight="1" x14ac:dyDescent="0.3">
      <c r="A168" s="8"/>
      <c r="B168" s="8"/>
      <c r="C168" s="8"/>
      <c r="D168" s="8"/>
      <c r="E168" s="8"/>
      <c r="F168" s="8"/>
      <c r="G168" s="8"/>
      <c r="H168" s="8"/>
      <c r="I168" s="89"/>
      <c r="J168" s="8"/>
      <c r="K168" s="8"/>
      <c r="L168" s="8"/>
      <c r="M168" s="8"/>
      <c r="N168" s="8"/>
      <c r="O168" s="8"/>
      <c r="P168" s="8"/>
      <c r="Q168" s="8"/>
      <c r="R168" s="8"/>
      <c r="S168" s="8"/>
      <c r="T168" s="8"/>
      <c r="U168" s="8"/>
      <c r="V168" s="8"/>
      <c r="W168" s="8"/>
      <c r="X168" s="8"/>
      <c r="Y168" s="8"/>
      <c r="Z168" s="8"/>
    </row>
    <row r="169" spans="1:26" ht="14.25" customHeight="1" x14ac:dyDescent="0.3">
      <c r="A169" s="8"/>
      <c r="B169" s="8"/>
      <c r="C169" s="8"/>
      <c r="D169" s="8"/>
      <c r="E169" s="8"/>
      <c r="F169" s="8"/>
      <c r="G169" s="8"/>
      <c r="H169" s="8"/>
      <c r="I169" s="89"/>
      <c r="J169" s="8"/>
      <c r="K169" s="8"/>
      <c r="L169" s="8"/>
      <c r="M169" s="8"/>
      <c r="N169" s="8"/>
      <c r="O169" s="8"/>
      <c r="P169" s="8"/>
      <c r="Q169" s="8"/>
      <c r="R169" s="8"/>
      <c r="S169" s="8"/>
      <c r="T169" s="8"/>
      <c r="U169" s="8"/>
      <c r="V169" s="8"/>
      <c r="W169" s="8"/>
      <c r="X169" s="8"/>
      <c r="Y169" s="8"/>
      <c r="Z169" s="8"/>
    </row>
    <row r="170" spans="1:26" ht="14.25" customHeight="1" x14ac:dyDescent="0.3">
      <c r="A170" s="8"/>
      <c r="B170" s="8"/>
      <c r="C170" s="8"/>
      <c r="D170" s="8"/>
      <c r="E170" s="8"/>
      <c r="F170" s="8"/>
      <c r="G170" s="8"/>
      <c r="H170" s="8"/>
      <c r="I170" s="89"/>
      <c r="J170" s="8"/>
      <c r="K170" s="8"/>
      <c r="L170" s="8"/>
      <c r="M170" s="8"/>
      <c r="N170" s="8"/>
      <c r="O170" s="8"/>
      <c r="P170" s="8"/>
      <c r="Q170" s="8"/>
      <c r="R170" s="8"/>
      <c r="S170" s="8"/>
      <c r="T170" s="8"/>
      <c r="U170" s="8"/>
      <c r="V170" s="8"/>
      <c r="W170" s="8"/>
      <c r="X170" s="8"/>
      <c r="Y170" s="8"/>
      <c r="Z170" s="8"/>
    </row>
    <row r="171" spans="1:26" ht="14.25" customHeight="1" x14ac:dyDescent="0.3">
      <c r="A171" s="8"/>
      <c r="B171" s="8"/>
      <c r="C171" s="8"/>
      <c r="D171" s="8"/>
      <c r="E171" s="8"/>
      <c r="F171" s="8"/>
      <c r="G171" s="8"/>
      <c r="H171" s="8"/>
      <c r="I171" s="89"/>
      <c r="J171" s="8"/>
      <c r="K171" s="8"/>
      <c r="L171" s="8"/>
      <c r="M171" s="8"/>
      <c r="N171" s="8"/>
      <c r="O171" s="8"/>
      <c r="P171" s="8"/>
      <c r="Q171" s="8"/>
      <c r="R171" s="8"/>
      <c r="S171" s="8"/>
      <c r="T171" s="8"/>
      <c r="U171" s="8"/>
      <c r="V171" s="8"/>
      <c r="W171" s="8"/>
      <c r="X171" s="8"/>
      <c r="Y171" s="8"/>
      <c r="Z171" s="8"/>
    </row>
    <row r="172" spans="1:26" ht="14.25" customHeight="1" x14ac:dyDescent="0.3">
      <c r="A172" s="8"/>
      <c r="B172" s="8"/>
      <c r="C172" s="8"/>
      <c r="D172" s="8"/>
      <c r="E172" s="8"/>
      <c r="F172" s="8"/>
      <c r="G172" s="8"/>
      <c r="H172" s="8"/>
      <c r="I172" s="89"/>
      <c r="J172" s="8"/>
      <c r="K172" s="8"/>
      <c r="L172" s="8"/>
      <c r="M172" s="8"/>
      <c r="N172" s="8"/>
      <c r="O172" s="8"/>
      <c r="P172" s="8"/>
      <c r="Q172" s="8"/>
      <c r="R172" s="8"/>
      <c r="S172" s="8"/>
      <c r="T172" s="8"/>
      <c r="U172" s="8"/>
      <c r="V172" s="8"/>
      <c r="W172" s="8"/>
      <c r="X172" s="8"/>
      <c r="Y172" s="8"/>
      <c r="Z172" s="8"/>
    </row>
    <row r="173" spans="1:26" ht="14.25" customHeight="1" x14ac:dyDescent="0.3">
      <c r="A173" s="8"/>
      <c r="B173" s="8"/>
      <c r="C173" s="8"/>
      <c r="D173" s="8"/>
      <c r="E173" s="8"/>
      <c r="F173" s="8"/>
      <c r="G173" s="8"/>
      <c r="H173" s="8"/>
      <c r="I173" s="89"/>
      <c r="J173" s="8"/>
      <c r="K173" s="8"/>
      <c r="L173" s="8"/>
      <c r="M173" s="8"/>
      <c r="N173" s="8"/>
      <c r="O173" s="8"/>
      <c r="P173" s="8"/>
      <c r="Q173" s="8"/>
      <c r="R173" s="8"/>
      <c r="S173" s="8"/>
      <c r="T173" s="8"/>
      <c r="U173" s="8"/>
      <c r="V173" s="8"/>
      <c r="W173" s="8"/>
      <c r="X173" s="8"/>
      <c r="Y173" s="8"/>
      <c r="Z173" s="8"/>
    </row>
    <row r="174" spans="1:26" ht="14.25" customHeight="1" x14ac:dyDescent="0.3">
      <c r="A174" s="8"/>
      <c r="B174" s="8"/>
      <c r="C174" s="8"/>
      <c r="D174" s="8"/>
      <c r="E174" s="8"/>
      <c r="F174" s="8"/>
      <c r="G174" s="8"/>
      <c r="H174" s="8"/>
      <c r="I174" s="89"/>
      <c r="J174" s="8"/>
      <c r="K174" s="8"/>
      <c r="L174" s="8"/>
      <c r="M174" s="8"/>
      <c r="N174" s="8"/>
      <c r="O174" s="8"/>
      <c r="P174" s="8"/>
      <c r="Q174" s="8"/>
      <c r="R174" s="8"/>
      <c r="S174" s="8"/>
      <c r="T174" s="8"/>
      <c r="U174" s="8"/>
      <c r="V174" s="8"/>
      <c r="W174" s="8"/>
      <c r="X174" s="8"/>
      <c r="Y174" s="8"/>
      <c r="Z174" s="8"/>
    </row>
    <row r="175" spans="1:26" ht="14.25" customHeight="1" x14ac:dyDescent="0.3">
      <c r="A175" s="8"/>
      <c r="B175" s="8"/>
      <c r="C175" s="8"/>
      <c r="D175" s="8"/>
      <c r="E175" s="8"/>
      <c r="F175" s="8"/>
      <c r="G175" s="8"/>
      <c r="H175" s="8"/>
      <c r="I175" s="89"/>
      <c r="J175" s="8"/>
      <c r="K175" s="8"/>
      <c r="L175" s="8"/>
      <c r="M175" s="8"/>
      <c r="N175" s="8"/>
      <c r="O175" s="8"/>
      <c r="P175" s="8"/>
      <c r="Q175" s="8"/>
      <c r="R175" s="8"/>
      <c r="S175" s="8"/>
      <c r="T175" s="8"/>
      <c r="U175" s="8"/>
      <c r="V175" s="8"/>
      <c r="W175" s="8"/>
      <c r="X175" s="8"/>
      <c r="Y175" s="8"/>
      <c r="Z175" s="8"/>
    </row>
    <row r="176" spans="1:26" ht="14.25" customHeight="1" x14ac:dyDescent="0.3">
      <c r="A176" s="8"/>
      <c r="B176" s="8"/>
      <c r="C176" s="8"/>
      <c r="D176" s="8"/>
      <c r="E176" s="8"/>
      <c r="F176" s="8"/>
      <c r="G176" s="8"/>
      <c r="H176" s="8"/>
      <c r="I176" s="89"/>
      <c r="J176" s="8"/>
      <c r="K176" s="8"/>
      <c r="L176" s="8"/>
      <c r="M176" s="8"/>
      <c r="N176" s="8"/>
      <c r="O176" s="8"/>
      <c r="P176" s="8"/>
      <c r="Q176" s="8"/>
      <c r="R176" s="8"/>
      <c r="S176" s="8"/>
      <c r="T176" s="8"/>
      <c r="U176" s="8"/>
      <c r="V176" s="8"/>
      <c r="W176" s="8"/>
      <c r="X176" s="8"/>
      <c r="Y176" s="8"/>
      <c r="Z176" s="8"/>
    </row>
    <row r="177" spans="1:26" ht="14.25" customHeight="1" x14ac:dyDescent="0.3">
      <c r="A177" s="8"/>
      <c r="B177" s="8"/>
      <c r="C177" s="8"/>
      <c r="D177" s="8"/>
      <c r="E177" s="8"/>
      <c r="F177" s="8"/>
      <c r="G177" s="8"/>
      <c r="H177" s="8"/>
      <c r="I177" s="89"/>
      <c r="J177" s="8"/>
      <c r="K177" s="8"/>
      <c r="L177" s="8"/>
      <c r="M177" s="8"/>
      <c r="N177" s="8"/>
      <c r="O177" s="8"/>
      <c r="P177" s="8"/>
      <c r="Q177" s="8"/>
      <c r="R177" s="8"/>
      <c r="S177" s="8"/>
      <c r="T177" s="8"/>
      <c r="U177" s="8"/>
      <c r="V177" s="8"/>
      <c r="W177" s="8"/>
      <c r="X177" s="8"/>
      <c r="Y177" s="8"/>
      <c r="Z177" s="8"/>
    </row>
    <row r="178" spans="1:26" ht="14.25" customHeight="1" x14ac:dyDescent="0.3">
      <c r="A178" s="8"/>
      <c r="B178" s="8"/>
      <c r="C178" s="8"/>
      <c r="D178" s="8"/>
      <c r="E178" s="8"/>
      <c r="F178" s="8"/>
      <c r="G178" s="8"/>
      <c r="H178" s="8"/>
      <c r="I178" s="89"/>
      <c r="J178" s="8"/>
      <c r="K178" s="8"/>
      <c r="L178" s="8"/>
      <c r="M178" s="8"/>
      <c r="N178" s="8"/>
      <c r="O178" s="8"/>
      <c r="P178" s="8"/>
      <c r="Q178" s="8"/>
      <c r="R178" s="8"/>
      <c r="S178" s="8"/>
      <c r="T178" s="8"/>
      <c r="U178" s="8"/>
      <c r="V178" s="8"/>
      <c r="W178" s="8"/>
      <c r="X178" s="8"/>
      <c r="Y178" s="8"/>
      <c r="Z178" s="8"/>
    </row>
    <row r="179" spans="1:26" ht="14.25" customHeight="1" x14ac:dyDescent="0.3">
      <c r="A179" s="8"/>
      <c r="B179" s="8"/>
      <c r="C179" s="8"/>
      <c r="D179" s="8"/>
      <c r="E179" s="8"/>
      <c r="F179" s="8"/>
      <c r="G179" s="8"/>
      <c r="H179" s="8"/>
      <c r="I179" s="89"/>
      <c r="J179" s="8"/>
      <c r="K179" s="8"/>
      <c r="L179" s="8"/>
      <c r="M179" s="8"/>
      <c r="N179" s="8"/>
      <c r="O179" s="8"/>
      <c r="P179" s="8"/>
      <c r="Q179" s="8"/>
      <c r="R179" s="8"/>
      <c r="S179" s="8"/>
      <c r="T179" s="8"/>
      <c r="U179" s="8"/>
      <c r="V179" s="8"/>
      <c r="W179" s="8"/>
      <c r="X179" s="8"/>
      <c r="Y179" s="8"/>
      <c r="Z179" s="8"/>
    </row>
    <row r="180" spans="1:26" ht="14.25" customHeight="1" x14ac:dyDescent="0.3">
      <c r="A180" s="8"/>
      <c r="B180" s="8"/>
      <c r="C180" s="8"/>
      <c r="D180" s="8"/>
      <c r="E180" s="8"/>
      <c r="F180" s="8"/>
      <c r="G180" s="8"/>
      <c r="H180" s="8"/>
      <c r="I180" s="89"/>
      <c r="J180" s="8"/>
      <c r="K180" s="8"/>
      <c r="L180" s="8"/>
      <c r="M180" s="8"/>
      <c r="N180" s="8"/>
      <c r="O180" s="8"/>
      <c r="P180" s="8"/>
      <c r="Q180" s="8"/>
      <c r="R180" s="8"/>
      <c r="S180" s="8"/>
      <c r="T180" s="8"/>
      <c r="U180" s="8"/>
      <c r="V180" s="8"/>
      <c r="W180" s="8"/>
      <c r="X180" s="8"/>
      <c r="Y180" s="8"/>
      <c r="Z180" s="8"/>
    </row>
    <row r="181" spans="1:26" ht="14.25" customHeight="1" x14ac:dyDescent="0.3">
      <c r="A181" s="8"/>
      <c r="B181" s="8"/>
      <c r="C181" s="8"/>
      <c r="D181" s="8"/>
      <c r="E181" s="8"/>
      <c r="F181" s="8"/>
      <c r="G181" s="8"/>
      <c r="H181" s="8"/>
      <c r="I181" s="89"/>
      <c r="J181" s="8"/>
      <c r="K181" s="8"/>
      <c r="L181" s="8"/>
      <c r="M181" s="8"/>
      <c r="N181" s="8"/>
      <c r="O181" s="8"/>
      <c r="P181" s="8"/>
      <c r="Q181" s="8"/>
      <c r="R181" s="8"/>
      <c r="S181" s="8"/>
      <c r="T181" s="8"/>
      <c r="U181" s="8"/>
      <c r="V181" s="8"/>
      <c r="W181" s="8"/>
      <c r="X181" s="8"/>
      <c r="Y181" s="8"/>
      <c r="Z181" s="8"/>
    </row>
    <row r="182" spans="1:26" ht="14.25" customHeight="1" x14ac:dyDescent="0.3">
      <c r="A182" s="8"/>
      <c r="B182" s="8"/>
      <c r="C182" s="8"/>
      <c r="D182" s="8"/>
      <c r="E182" s="8"/>
      <c r="F182" s="8"/>
      <c r="G182" s="8"/>
      <c r="H182" s="8"/>
      <c r="I182" s="89"/>
      <c r="J182" s="8"/>
      <c r="K182" s="8"/>
      <c r="L182" s="8"/>
      <c r="M182" s="8"/>
      <c r="N182" s="8"/>
      <c r="O182" s="8"/>
      <c r="P182" s="8"/>
      <c r="Q182" s="8"/>
      <c r="R182" s="8"/>
      <c r="S182" s="8"/>
      <c r="T182" s="8"/>
      <c r="U182" s="8"/>
      <c r="V182" s="8"/>
      <c r="W182" s="8"/>
      <c r="X182" s="8"/>
      <c r="Y182" s="8"/>
      <c r="Z182" s="8"/>
    </row>
    <row r="183" spans="1:26" ht="14.25" customHeight="1" x14ac:dyDescent="0.3">
      <c r="A183" s="8"/>
      <c r="B183" s="8"/>
      <c r="C183" s="8"/>
      <c r="D183" s="8"/>
      <c r="E183" s="8"/>
      <c r="F183" s="8"/>
      <c r="G183" s="8"/>
      <c r="H183" s="8"/>
      <c r="I183" s="89"/>
      <c r="J183" s="8"/>
      <c r="K183" s="8"/>
      <c r="L183" s="8"/>
      <c r="M183" s="8"/>
      <c r="N183" s="8"/>
      <c r="O183" s="8"/>
      <c r="P183" s="8"/>
      <c r="Q183" s="8"/>
      <c r="R183" s="8"/>
      <c r="S183" s="8"/>
      <c r="T183" s="8"/>
      <c r="U183" s="8"/>
      <c r="V183" s="8"/>
      <c r="W183" s="8"/>
      <c r="X183" s="8"/>
      <c r="Y183" s="8"/>
      <c r="Z183" s="8"/>
    </row>
    <row r="184" spans="1:26" ht="14.25" customHeight="1" x14ac:dyDescent="0.3">
      <c r="A184" s="8"/>
      <c r="B184" s="8"/>
      <c r="C184" s="8"/>
      <c r="D184" s="8"/>
      <c r="E184" s="8"/>
      <c r="F184" s="8"/>
      <c r="G184" s="8"/>
      <c r="H184" s="8"/>
      <c r="I184" s="89"/>
      <c r="J184" s="8"/>
      <c r="K184" s="8"/>
      <c r="L184" s="8"/>
      <c r="M184" s="8"/>
      <c r="N184" s="8"/>
      <c r="O184" s="8"/>
      <c r="P184" s="8"/>
      <c r="Q184" s="8"/>
      <c r="R184" s="8"/>
      <c r="S184" s="8"/>
      <c r="T184" s="8"/>
      <c r="U184" s="8"/>
      <c r="V184" s="8"/>
      <c r="W184" s="8"/>
      <c r="X184" s="8"/>
      <c r="Y184" s="8"/>
      <c r="Z184" s="8"/>
    </row>
    <row r="185" spans="1:26" ht="14.25" customHeight="1" x14ac:dyDescent="0.3">
      <c r="A185" s="8"/>
      <c r="B185" s="8"/>
      <c r="C185" s="8"/>
      <c r="D185" s="8"/>
      <c r="E185" s="8"/>
      <c r="F185" s="8"/>
      <c r="G185" s="8"/>
      <c r="H185" s="8"/>
      <c r="I185" s="89"/>
      <c r="J185" s="8"/>
      <c r="K185" s="8"/>
      <c r="L185" s="8"/>
      <c r="M185" s="8"/>
      <c r="N185" s="8"/>
      <c r="O185" s="8"/>
      <c r="P185" s="8"/>
      <c r="Q185" s="8"/>
      <c r="R185" s="8"/>
      <c r="S185" s="8"/>
      <c r="T185" s="8"/>
      <c r="U185" s="8"/>
      <c r="V185" s="8"/>
      <c r="W185" s="8"/>
      <c r="X185" s="8"/>
      <c r="Y185" s="8"/>
      <c r="Z185" s="8"/>
    </row>
    <row r="186" spans="1:26" ht="14.25" customHeight="1" x14ac:dyDescent="0.3">
      <c r="A186" s="8"/>
      <c r="B186" s="8"/>
      <c r="C186" s="8"/>
      <c r="D186" s="8"/>
      <c r="E186" s="8"/>
      <c r="F186" s="8"/>
      <c r="G186" s="8"/>
      <c r="H186" s="8"/>
      <c r="I186" s="89"/>
      <c r="J186" s="8"/>
      <c r="K186" s="8"/>
      <c r="L186" s="8"/>
      <c r="M186" s="8"/>
      <c r="N186" s="8"/>
      <c r="O186" s="8"/>
      <c r="P186" s="8"/>
      <c r="Q186" s="8"/>
      <c r="R186" s="8"/>
      <c r="S186" s="8"/>
      <c r="T186" s="8"/>
      <c r="U186" s="8"/>
      <c r="V186" s="8"/>
      <c r="W186" s="8"/>
      <c r="X186" s="8"/>
      <c r="Y186" s="8"/>
      <c r="Z186" s="8"/>
    </row>
    <row r="187" spans="1:26" ht="14.25" customHeight="1" x14ac:dyDescent="0.3">
      <c r="A187" s="8"/>
      <c r="B187" s="8"/>
      <c r="C187" s="8"/>
      <c r="D187" s="8"/>
      <c r="E187" s="8"/>
      <c r="F187" s="8"/>
      <c r="G187" s="8"/>
      <c r="H187" s="8"/>
      <c r="I187" s="89"/>
      <c r="J187" s="8"/>
      <c r="K187" s="8"/>
      <c r="L187" s="8"/>
      <c r="M187" s="8"/>
      <c r="N187" s="8"/>
      <c r="O187" s="8"/>
      <c r="P187" s="8"/>
      <c r="Q187" s="8"/>
      <c r="R187" s="8"/>
      <c r="S187" s="8"/>
      <c r="T187" s="8"/>
      <c r="U187" s="8"/>
      <c r="V187" s="8"/>
      <c r="W187" s="8"/>
      <c r="X187" s="8"/>
      <c r="Y187" s="8"/>
      <c r="Z187" s="8"/>
    </row>
    <row r="188" spans="1:26" ht="14.25" customHeight="1" x14ac:dyDescent="0.3">
      <c r="A188" s="8"/>
      <c r="B188" s="8"/>
      <c r="C188" s="8"/>
      <c r="D188" s="8"/>
      <c r="E188" s="8"/>
      <c r="F188" s="8"/>
      <c r="G188" s="8"/>
      <c r="H188" s="8"/>
      <c r="I188" s="89"/>
      <c r="J188" s="8"/>
      <c r="K188" s="8"/>
      <c r="L188" s="8"/>
      <c r="M188" s="8"/>
      <c r="N188" s="8"/>
      <c r="O188" s="8"/>
      <c r="P188" s="8"/>
      <c r="Q188" s="8"/>
      <c r="R188" s="8"/>
      <c r="S188" s="8"/>
      <c r="T188" s="8"/>
      <c r="U188" s="8"/>
      <c r="V188" s="8"/>
      <c r="W188" s="8"/>
      <c r="X188" s="8"/>
      <c r="Y188" s="8"/>
      <c r="Z188" s="8"/>
    </row>
    <row r="189" spans="1:26" ht="14.25" customHeight="1" x14ac:dyDescent="0.3">
      <c r="A189" s="8"/>
      <c r="B189" s="8"/>
      <c r="C189" s="8"/>
      <c r="D189" s="8"/>
      <c r="E189" s="8"/>
      <c r="F189" s="8"/>
      <c r="G189" s="8"/>
      <c r="H189" s="8"/>
      <c r="I189" s="89"/>
      <c r="J189" s="8"/>
      <c r="K189" s="8"/>
      <c r="L189" s="8"/>
      <c r="M189" s="8"/>
      <c r="N189" s="8"/>
      <c r="O189" s="8"/>
      <c r="P189" s="8"/>
      <c r="Q189" s="8"/>
      <c r="R189" s="8"/>
      <c r="S189" s="8"/>
      <c r="T189" s="8"/>
      <c r="U189" s="8"/>
      <c r="V189" s="8"/>
      <c r="W189" s="8"/>
      <c r="X189" s="8"/>
      <c r="Y189" s="8"/>
      <c r="Z189" s="8"/>
    </row>
    <row r="190" spans="1:26" ht="14.25" customHeight="1" x14ac:dyDescent="0.3">
      <c r="A190" s="8"/>
      <c r="B190" s="8"/>
      <c r="C190" s="8"/>
      <c r="D190" s="8"/>
      <c r="E190" s="8"/>
      <c r="F190" s="8"/>
      <c r="G190" s="8"/>
      <c r="H190" s="8"/>
      <c r="I190" s="89"/>
      <c r="J190" s="8"/>
      <c r="K190" s="8"/>
      <c r="L190" s="8"/>
      <c r="M190" s="8"/>
      <c r="N190" s="8"/>
      <c r="O190" s="8"/>
      <c r="P190" s="8"/>
      <c r="Q190" s="8"/>
      <c r="R190" s="8"/>
      <c r="S190" s="8"/>
      <c r="T190" s="8"/>
      <c r="U190" s="8"/>
      <c r="V190" s="8"/>
      <c r="W190" s="8"/>
      <c r="X190" s="8"/>
      <c r="Y190" s="8"/>
      <c r="Z190" s="8"/>
    </row>
    <row r="191" spans="1:26" ht="14.25" customHeight="1" x14ac:dyDescent="0.3">
      <c r="A191" s="8"/>
      <c r="B191" s="8"/>
      <c r="C191" s="8"/>
      <c r="D191" s="8"/>
      <c r="E191" s="8"/>
      <c r="F191" s="8"/>
      <c r="G191" s="8"/>
      <c r="H191" s="8"/>
      <c r="I191" s="89"/>
      <c r="J191" s="8"/>
      <c r="K191" s="8"/>
      <c r="L191" s="8"/>
      <c r="M191" s="8"/>
      <c r="N191" s="8"/>
      <c r="O191" s="8"/>
      <c r="P191" s="8"/>
      <c r="Q191" s="8"/>
      <c r="R191" s="8"/>
      <c r="S191" s="8"/>
      <c r="T191" s="8"/>
      <c r="U191" s="8"/>
      <c r="V191" s="8"/>
      <c r="W191" s="8"/>
      <c r="X191" s="8"/>
      <c r="Y191" s="8"/>
      <c r="Z191" s="8"/>
    </row>
    <row r="192" spans="1:26" ht="14.25" customHeight="1" x14ac:dyDescent="0.3">
      <c r="A192" s="8"/>
      <c r="B192" s="8"/>
      <c r="C192" s="8"/>
      <c r="D192" s="8"/>
      <c r="E192" s="8"/>
      <c r="F192" s="8"/>
      <c r="G192" s="8"/>
      <c r="H192" s="8"/>
      <c r="I192" s="89"/>
      <c r="J192" s="8"/>
      <c r="K192" s="8"/>
      <c r="L192" s="8"/>
      <c r="M192" s="8"/>
      <c r="N192" s="8"/>
      <c r="O192" s="8"/>
      <c r="P192" s="8"/>
      <c r="Q192" s="8"/>
      <c r="R192" s="8"/>
      <c r="S192" s="8"/>
      <c r="T192" s="8"/>
      <c r="U192" s="8"/>
      <c r="V192" s="8"/>
      <c r="W192" s="8"/>
      <c r="X192" s="8"/>
      <c r="Y192" s="8"/>
      <c r="Z192" s="8"/>
    </row>
    <row r="193" spans="1:26" ht="14.25" customHeight="1" x14ac:dyDescent="0.3">
      <c r="A193" s="8"/>
      <c r="B193" s="8"/>
      <c r="C193" s="8"/>
      <c r="D193" s="8"/>
      <c r="E193" s="8"/>
      <c r="F193" s="8"/>
      <c r="G193" s="8"/>
      <c r="H193" s="8"/>
      <c r="I193" s="89"/>
      <c r="J193" s="8"/>
      <c r="K193" s="8"/>
      <c r="L193" s="8"/>
      <c r="M193" s="8"/>
      <c r="N193" s="8"/>
      <c r="O193" s="8"/>
      <c r="P193" s="8"/>
      <c r="Q193" s="8"/>
      <c r="R193" s="8"/>
      <c r="S193" s="8"/>
      <c r="T193" s="8"/>
      <c r="U193" s="8"/>
      <c r="V193" s="8"/>
      <c r="W193" s="8"/>
      <c r="X193" s="8"/>
      <c r="Y193" s="8"/>
      <c r="Z193" s="8"/>
    </row>
    <row r="194" spans="1:26" ht="14.25" customHeight="1" x14ac:dyDescent="0.3">
      <c r="A194" s="8"/>
      <c r="B194" s="8"/>
      <c r="C194" s="8"/>
      <c r="D194" s="8"/>
      <c r="E194" s="8"/>
      <c r="F194" s="8"/>
      <c r="G194" s="8"/>
      <c r="H194" s="8"/>
      <c r="I194" s="89"/>
      <c r="J194" s="8"/>
      <c r="K194" s="8"/>
      <c r="L194" s="8"/>
      <c r="M194" s="8"/>
      <c r="N194" s="8"/>
      <c r="O194" s="8"/>
      <c r="P194" s="8"/>
      <c r="Q194" s="8"/>
      <c r="R194" s="8"/>
      <c r="S194" s="8"/>
      <c r="T194" s="8"/>
      <c r="U194" s="8"/>
      <c r="V194" s="8"/>
      <c r="W194" s="8"/>
      <c r="X194" s="8"/>
      <c r="Y194" s="8"/>
      <c r="Z194" s="8"/>
    </row>
    <row r="195" spans="1:26" ht="14.25" customHeight="1" x14ac:dyDescent="0.3">
      <c r="A195" s="8"/>
      <c r="B195" s="8"/>
      <c r="C195" s="8"/>
      <c r="D195" s="8"/>
      <c r="E195" s="8"/>
      <c r="F195" s="8"/>
      <c r="G195" s="8"/>
      <c r="H195" s="8"/>
      <c r="I195" s="89"/>
      <c r="J195" s="8"/>
      <c r="K195" s="8"/>
      <c r="L195" s="8"/>
      <c r="M195" s="8"/>
      <c r="N195" s="8"/>
      <c r="O195" s="8"/>
      <c r="P195" s="8"/>
      <c r="Q195" s="8"/>
      <c r="R195" s="8"/>
      <c r="S195" s="8"/>
      <c r="T195" s="8"/>
      <c r="U195" s="8"/>
      <c r="V195" s="8"/>
      <c r="W195" s="8"/>
      <c r="X195" s="8"/>
      <c r="Y195" s="8"/>
      <c r="Z195" s="8"/>
    </row>
    <row r="196" spans="1:26" ht="14.25" customHeight="1" x14ac:dyDescent="0.3">
      <c r="A196" s="8"/>
      <c r="B196" s="8"/>
      <c r="C196" s="8"/>
      <c r="D196" s="8"/>
      <c r="E196" s="8"/>
      <c r="F196" s="8"/>
      <c r="G196" s="8"/>
      <c r="H196" s="8"/>
      <c r="I196" s="89"/>
      <c r="J196" s="8"/>
      <c r="K196" s="8"/>
      <c r="L196" s="8"/>
      <c r="M196" s="8"/>
      <c r="N196" s="8"/>
      <c r="O196" s="8"/>
      <c r="P196" s="8"/>
      <c r="Q196" s="8"/>
      <c r="R196" s="8"/>
      <c r="S196" s="8"/>
      <c r="T196" s="8"/>
      <c r="U196" s="8"/>
      <c r="V196" s="8"/>
      <c r="W196" s="8"/>
      <c r="X196" s="8"/>
      <c r="Y196" s="8"/>
      <c r="Z196" s="8"/>
    </row>
    <row r="197" spans="1:26" ht="14.25" customHeight="1" x14ac:dyDescent="0.3">
      <c r="A197" s="8"/>
      <c r="B197" s="8"/>
      <c r="C197" s="8"/>
      <c r="D197" s="8"/>
      <c r="E197" s="8"/>
      <c r="F197" s="8"/>
      <c r="G197" s="8"/>
      <c r="H197" s="8"/>
      <c r="I197" s="89"/>
      <c r="J197" s="8"/>
      <c r="K197" s="8"/>
      <c r="L197" s="8"/>
      <c r="M197" s="8"/>
      <c r="N197" s="8"/>
      <c r="O197" s="8"/>
      <c r="P197" s="8"/>
      <c r="Q197" s="8"/>
      <c r="R197" s="8"/>
      <c r="S197" s="8"/>
      <c r="T197" s="8"/>
      <c r="U197" s="8"/>
      <c r="V197" s="8"/>
      <c r="W197" s="8"/>
      <c r="X197" s="8"/>
      <c r="Y197" s="8"/>
      <c r="Z197" s="8"/>
    </row>
    <row r="198" spans="1:26" ht="14.25" customHeight="1" x14ac:dyDescent="0.3">
      <c r="A198" s="8"/>
      <c r="B198" s="8"/>
      <c r="C198" s="8"/>
      <c r="D198" s="8"/>
      <c r="E198" s="8"/>
      <c r="F198" s="8"/>
      <c r="G198" s="8"/>
      <c r="H198" s="8"/>
      <c r="I198" s="89"/>
      <c r="J198" s="8"/>
      <c r="K198" s="8"/>
      <c r="L198" s="8"/>
      <c r="M198" s="8"/>
      <c r="N198" s="8"/>
      <c r="O198" s="8"/>
      <c r="P198" s="8"/>
      <c r="Q198" s="8"/>
      <c r="R198" s="8"/>
      <c r="S198" s="8"/>
      <c r="T198" s="8"/>
      <c r="U198" s="8"/>
      <c r="V198" s="8"/>
      <c r="W198" s="8"/>
      <c r="X198" s="8"/>
      <c r="Y198" s="8"/>
      <c r="Z198" s="8"/>
    </row>
    <row r="199" spans="1:26" ht="14.25" customHeight="1" x14ac:dyDescent="0.3">
      <c r="A199" s="8"/>
      <c r="B199" s="8"/>
      <c r="C199" s="8"/>
      <c r="D199" s="8"/>
      <c r="E199" s="8"/>
      <c r="F199" s="8"/>
      <c r="G199" s="8"/>
      <c r="H199" s="8"/>
      <c r="I199" s="89"/>
      <c r="J199" s="8"/>
      <c r="K199" s="8"/>
      <c r="L199" s="8"/>
      <c r="M199" s="8"/>
      <c r="N199" s="8"/>
      <c r="O199" s="8"/>
      <c r="P199" s="8"/>
      <c r="Q199" s="8"/>
      <c r="R199" s="8"/>
      <c r="S199" s="8"/>
      <c r="T199" s="8"/>
      <c r="U199" s="8"/>
      <c r="V199" s="8"/>
      <c r="W199" s="8"/>
      <c r="X199" s="8"/>
      <c r="Y199" s="8"/>
      <c r="Z199" s="8"/>
    </row>
    <row r="200" spans="1:26" ht="14.25" customHeight="1" x14ac:dyDescent="0.3">
      <c r="A200" s="8"/>
      <c r="B200" s="8"/>
      <c r="C200" s="8"/>
      <c r="D200" s="8"/>
      <c r="E200" s="8"/>
      <c r="F200" s="8"/>
      <c r="G200" s="8"/>
      <c r="H200" s="8"/>
      <c r="I200" s="89"/>
      <c r="J200" s="8"/>
      <c r="K200" s="8"/>
      <c r="L200" s="8"/>
      <c r="M200" s="8"/>
      <c r="N200" s="8"/>
      <c r="O200" s="8"/>
      <c r="P200" s="8"/>
      <c r="Q200" s="8"/>
      <c r="R200" s="8"/>
      <c r="S200" s="8"/>
      <c r="T200" s="8"/>
      <c r="U200" s="8"/>
      <c r="V200" s="8"/>
      <c r="W200" s="8"/>
      <c r="X200" s="8"/>
      <c r="Y200" s="8"/>
      <c r="Z200" s="8"/>
    </row>
    <row r="201" spans="1:26" ht="12.75" customHeight="1" x14ac:dyDescent="0.3">
      <c r="A201" s="8"/>
      <c r="B201" s="8"/>
      <c r="C201" s="8"/>
      <c r="D201" s="8"/>
      <c r="E201" s="8"/>
      <c r="F201" s="8"/>
      <c r="G201" s="8"/>
      <c r="H201" s="8"/>
      <c r="I201" s="89"/>
      <c r="J201" s="8"/>
      <c r="K201" s="8"/>
      <c r="L201" s="8"/>
      <c r="M201" s="8"/>
      <c r="N201" s="8"/>
      <c r="O201" s="8"/>
      <c r="P201" s="8"/>
      <c r="Q201" s="8"/>
      <c r="R201" s="8"/>
      <c r="S201" s="8"/>
      <c r="T201" s="8"/>
      <c r="U201" s="8"/>
      <c r="V201" s="8"/>
      <c r="W201" s="8"/>
      <c r="X201" s="8"/>
      <c r="Y201" s="8"/>
      <c r="Z201" s="8"/>
    </row>
    <row r="202" spans="1:26" ht="12.75" customHeight="1" x14ac:dyDescent="0.3">
      <c r="A202" s="8"/>
      <c r="B202" s="8"/>
      <c r="C202" s="8"/>
      <c r="D202" s="8"/>
      <c r="E202" s="8"/>
      <c r="F202" s="8"/>
      <c r="G202" s="8"/>
      <c r="H202" s="8"/>
      <c r="I202" s="89"/>
      <c r="J202" s="8"/>
      <c r="K202" s="8"/>
      <c r="L202" s="8"/>
      <c r="M202" s="8"/>
      <c r="N202" s="8"/>
      <c r="O202" s="8"/>
      <c r="P202" s="8"/>
      <c r="Q202" s="8"/>
      <c r="R202" s="8"/>
      <c r="S202" s="8"/>
      <c r="T202" s="8"/>
      <c r="U202" s="8"/>
      <c r="V202" s="8"/>
      <c r="W202" s="8"/>
      <c r="X202" s="8"/>
      <c r="Y202" s="8"/>
      <c r="Z202" s="8"/>
    </row>
    <row r="203" spans="1:26" ht="12.75" customHeight="1" x14ac:dyDescent="0.3">
      <c r="A203" s="8"/>
      <c r="B203" s="8"/>
      <c r="C203" s="8"/>
      <c r="D203" s="8"/>
      <c r="E203" s="8"/>
      <c r="F203" s="8"/>
      <c r="G203" s="8"/>
      <c r="H203" s="8"/>
      <c r="I203" s="89"/>
      <c r="J203" s="8"/>
      <c r="K203" s="8"/>
      <c r="L203" s="8"/>
      <c r="M203" s="8"/>
      <c r="N203" s="8"/>
      <c r="O203" s="8"/>
      <c r="P203" s="8"/>
      <c r="Q203" s="8"/>
      <c r="R203" s="8"/>
      <c r="S203" s="8"/>
      <c r="T203" s="8"/>
      <c r="U203" s="8"/>
      <c r="V203" s="8"/>
      <c r="W203" s="8"/>
      <c r="X203" s="8"/>
      <c r="Y203" s="8"/>
      <c r="Z203" s="8"/>
    </row>
    <row r="204" spans="1:26" ht="12.75" customHeight="1" x14ac:dyDescent="0.3">
      <c r="A204" s="8"/>
      <c r="B204" s="8"/>
      <c r="C204" s="8"/>
      <c r="D204" s="8"/>
      <c r="E204" s="8"/>
      <c r="F204" s="8"/>
      <c r="G204" s="8"/>
      <c r="H204" s="8"/>
      <c r="I204" s="89"/>
      <c r="J204" s="8"/>
      <c r="K204" s="8"/>
      <c r="L204" s="8"/>
      <c r="M204" s="8"/>
      <c r="N204" s="8"/>
      <c r="O204" s="8"/>
      <c r="P204" s="8"/>
      <c r="Q204" s="8"/>
      <c r="R204" s="8"/>
      <c r="S204" s="8"/>
      <c r="T204" s="8"/>
      <c r="U204" s="8"/>
      <c r="V204" s="8"/>
      <c r="W204" s="8"/>
      <c r="X204" s="8"/>
      <c r="Y204" s="8"/>
      <c r="Z204" s="8"/>
    </row>
    <row r="205" spans="1:26" ht="12.75" customHeight="1" x14ac:dyDescent="0.3">
      <c r="A205" s="8"/>
      <c r="B205" s="8"/>
      <c r="C205" s="8"/>
      <c r="D205" s="8"/>
      <c r="E205" s="8"/>
      <c r="F205" s="8"/>
      <c r="G205" s="8"/>
      <c r="H205" s="8"/>
      <c r="I205" s="89"/>
      <c r="J205" s="8"/>
      <c r="K205" s="8"/>
      <c r="L205" s="8"/>
      <c r="M205" s="8"/>
      <c r="N205" s="8"/>
      <c r="O205" s="8"/>
      <c r="P205" s="8"/>
      <c r="Q205" s="8"/>
      <c r="R205" s="8"/>
      <c r="S205" s="8"/>
      <c r="T205" s="8"/>
      <c r="U205" s="8"/>
      <c r="V205" s="8"/>
      <c r="W205" s="8"/>
      <c r="X205" s="8"/>
      <c r="Y205" s="8"/>
      <c r="Z205" s="8"/>
    </row>
    <row r="206" spans="1:26" ht="12.75" customHeight="1" x14ac:dyDescent="0.3">
      <c r="A206" s="8"/>
      <c r="B206" s="8"/>
      <c r="C206" s="8"/>
      <c r="D206" s="8"/>
      <c r="E206" s="8"/>
      <c r="F206" s="8"/>
      <c r="G206" s="8"/>
      <c r="H206" s="8"/>
      <c r="I206" s="89"/>
      <c r="J206" s="8"/>
      <c r="K206" s="8"/>
      <c r="L206" s="8"/>
      <c r="M206" s="8"/>
      <c r="N206" s="8"/>
      <c r="O206" s="8"/>
      <c r="P206" s="8"/>
      <c r="Q206" s="8"/>
      <c r="R206" s="8"/>
      <c r="S206" s="8"/>
      <c r="T206" s="8"/>
      <c r="U206" s="8"/>
      <c r="V206" s="8"/>
      <c r="W206" s="8"/>
      <c r="X206" s="8"/>
      <c r="Y206" s="8"/>
      <c r="Z206" s="8"/>
    </row>
    <row r="207" spans="1:26" ht="12.75" customHeight="1" x14ac:dyDescent="0.3">
      <c r="A207" s="8"/>
      <c r="B207" s="8"/>
      <c r="C207" s="8"/>
      <c r="D207" s="8"/>
      <c r="E207" s="8"/>
      <c r="F207" s="8"/>
      <c r="G207" s="8"/>
      <c r="H207" s="8"/>
      <c r="I207" s="89"/>
      <c r="J207" s="8"/>
      <c r="K207" s="8"/>
      <c r="L207" s="8"/>
      <c r="M207" s="8"/>
      <c r="N207" s="8"/>
      <c r="O207" s="8"/>
      <c r="P207" s="8"/>
      <c r="Q207" s="8"/>
      <c r="R207" s="8"/>
      <c r="S207" s="8"/>
      <c r="T207" s="8"/>
      <c r="U207" s="8"/>
      <c r="V207" s="8"/>
      <c r="W207" s="8"/>
      <c r="X207" s="8"/>
      <c r="Y207" s="8"/>
      <c r="Z207" s="8"/>
    </row>
    <row r="208" spans="1:26" ht="12.75" customHeight="1" x14ac:dyDescent="0.3">
      <c r="A208" s="8"/>
      <c r="B208" s="8"/>
      <c r="C208" s="8"/>
      <c r="D208" s="8"/>
      <c r="E208" s="8"/>
      <c r="F208" s="8"/>
      <c r="G208" s="8"/>
      <c r="H208" s="8"/>
      <c r="I208" s="89"/>
      <c r="J208" s="8"/>
      <c r="K208" s="8"/>
      <c r="L208" s="8"/>
      <c r="M208" s="8"/>
      <c r="N208" s="8"/>
      <c r="O208" s="8"/>
      <c r="P208" s="8"/>
      <c r="Q208" s="8"/>
      <c r="R208" s="8"/>
      <c r="S208" s="8"/>
      <c r="T208" s="8"/>
      <c r="U208" s="8"/>
      <c r="V208" s="8"/>
      <c r="W208" s="8"/>
      <c r="X208" s="8"/>
      <c r="Y208" s="8"/>
      <c r="Z208" s="8"/>
    </row>
    <row r="209" spans="1:26" ht="12.75" customHeight="1" x14ac:dyDescent="0.3">
      <c r="A209" s="8"/>
      <c r="B209" s="8"/>
      <c r="C209" s="8"/>
      <c r="D209" s="8"/>
      <c r="E209" s="8"/>
      <c r="F209" s="8"/>
      <c r="G209" s="8"/>
      <c r="H209" s="8"/>
      <c r="I209" s="89"/>
      <c r="J209" s="8"/>
      <c r="K209" s="8"/>
      <c r="L209" s="8"/>
      <c r="M209" s="8"/>
      <c r="N209" s="8"/>
      <c r="O209" s="8"/>
      <c r="P209" s="8"/>
      <c r="Q209" s="8"/>
      <c r="R209" s="8"/>
      <c r="S209" s="8"/>
      <c r="T209" s="8"/>
      <c r="U209" s="8"/>
      <c r="V209" s="8"/>
      <c r="W209" s="8"/>
      <c r="X209" s="8"/>
      <c r="Y209" s="8"/>
      <c r="Z209" s="8"/>
    </row>
    <row r="210" spans="1:26" ht="12.75" customHeight="1" x14ac:dyDescent="0.3">
      <c r="A210" s="8"/>
      <c r="B210" s="8"/>
      <c r="C210" s="8"/>
      <c r="D210" s="8"/>
      <c r="E210" s="8"/>
      <c r="F210" s="8"/>
      <c r="G210" s="8"/>
      <c r="H210" s="8"/>
      <c r="I210" s="89"/>
      <c r="J210" s="8"/>
      <c r="K210" s="8"/>
      <c r="L210" s="8"/>
      <c r="M210" s="8"/>
      <c r="N210" s="8"/>
      <c r="O210" s="8"/>
      <c r="P210" s="8"/>
      <c r="Q210" s="8"/>
      <c r="R210" s="8"/>
      <c r="S210" s="8"/>
      <c r="T210" s="8"/>
      <c r="U210" s="8"/>
      <c r="V210" s="8"/>
      <c r="W210" s="8"/>
      <c r="X210" s="8"/>
      <c r="Y210" s="8"/>
      <c r="Z210" s="8"/>
    </row>
    <row r="211" spans="1:26" ht="12.75" customHeight="1" x14ac:dyDescent="0.3">
      <c r="A211" s="8"/>
      <c r="B211" s="8"/>
      <c r="C211" s="8"/>
      <c r="D211" s="8"/>
      <c r="E211" s="8"/>
      <c r="F211" s="8"/>
      <c r="G211" s="8"/>
      <c r="H211" s="8"/>
      <c r="I211" s="89"/>
      <c r="J211" s="8"/>
      <c r="K211" s="8"/>
      <c r="L211" s="8"/>
      <c r="M211" s="8"/>
      <c r="N211" s="8"/>
      <c r="O211" s="8"/>
      <c r="P211" s="8"/>
      <c r="Q211" s="8"/>
      <c r="R211" s="8"/>
      <c r="S211" s="8"/>
      <c r="T211" s="8"/>
      <c r="U211" s="8"/>
      <c r="V211" s="8"/>
      <c r="W211" s="8"/>
      <c r="X211" s="8"/>
      <c r="Y211" s="8"/>
      <c r="Z211" s="8"/>
    </row>
    <row r="212" spans="1:26" ht="12.75" customHeight="1" x14ac:dyDescent="0.3">
      <c r="A212" s="8"/>
      <c r="B212" s="8"/>
      <c r="C212" s="8"/>
      <c r="D212" s="8"/>
      <c r="E212" s="8"/>
      <c r="F212" s="8"/>
      <c r="G212" s="8"/>
      <c r="H212" s="8"/>
      <c r="I212" s="89"/>
      <c r="J212" s="8"/>
      <c r="K212" s="8"/>
      <c r="L212" s="8"/>
      <c r="M212" s="8"/>
      <c r="N212" s="8"/>
      <c r="O212" s="8"/>
      <c r="P212" s="8"/>
      <c r="Q212" s="8"/>
      <c r="R212" s="8"/>
      <c r="S212" s="8"/>
      <c r="T212" s="8"/>
      <c r="U212" s="8"/>
      <c r="V212" s="8"/>
      <c r="W212" s="8"/>
      <c r="X212" s="8"/>
      <c r="Y212" s="8"/>
      <c r="Z212" s="8"/>
    </row>
    <row r="213" spans="1:26" ht="12.75" customHeight="1" x14ac:dyDescent="0.3">
      <c r="A213" s="8"/>
      <c r="B213" s="8"/>
      <c r="C213" s="8"/>
      <c r="D213" s="8"/>
      <c r="E213" s="8"/>
      <c r="F213" s="8"/>
      <c r="G213" s="8"/>
      <c r="H213" s="8"/>
      <c r="I213" s="89"/>
      <c r="J213" s="8"/>
      <c r="K213" s="8"/>
      <c r="L213" s="8"/>
      <c r="M213" s="8"/>
      <c r="N213" s="8"/>
      <c r="O213" s="8"/>
      <c r="P213" s="8"/>
      <c r="Q213" s="8"/>
      <c r="R213" s="8"/>
      <c r="S213" s="8"/>
      <c r="T213" s="8"/>
      <c r="U213" s="8"/>
      <c r="V213" s="8"/>
      <c r="W213" s="8"/>
      <c r="X213" s="8"/>
      <c r="Y213" s="8"/>
      <c r="Z213" s="8"/>
    </row>
    <row r="214" spans="1:26" ht="12.75" customHeight="1" x14ac:dyDescent="0.3">
      <c r="A214" s="8"/>
      <c r="B214" s="8"/>
      <c r="C214" s="8"/>
      <c r="D214" s="8"/>
      <c r="E214" s="8"/>
      <c r="F214" s="8"/>
      <c r="G214" s="8"/>
      <c r="H214" s="8"/>
      <c r="I214" s="89"/>
      <c r="J214" s="8"/>
      <c r="K214" s="8"/>
      <c r="L214" s="8"/>
      <c r="M214" s="8"/>
      <c r="N214" s="8"/>
      <c r="O214" s="8"/>
      <c r="P214" s="8"/>
      <c r="Q214" s="8"/>
      <c r="R214" s="8"/>
      <c r="S214" s="8"/>
      <c r="T214" s="8"/>
      <c r="U214" s="8"/>
      <c r="V214" s="8"/>
      <c r="W214" s="8"/>
      <c r="X214" s="8"/>
      <c r="Y214" s="8"/>
      <c r="Z214" s="8"/>
    </row>
    <row r="215" spans="1:26" ht="12.75" customHeight="1" x14ac:dyDescent="0.3">
      <c r="A215" s="8"/>
      <c r="B215" s="8"/>
      <c r="C215" s="8"/>
      <c r="D215" s="8"/>
      <c r="E215" s="8"/>
      <c r="F215" s="8"/>
      <c r="G215" s="8"/>
      <c r="H215" s="8"/>
      <c r="I215" s="89"/>
      <c r="J215" s="8"/>
      <c r="K215" s="8"/>
      <c r="L215" s="8"/>
      <c r="M215" s="8"/>
      <c r="N215" s="8"/>
      <c r="O215" s="8"/>
      <c r="P215" s="8"/>
      <c r="Q215" s="8"/>
      <c r="R215" s="8"/>
      <c r="S215" s="8"/>
      <c r="T215" s="8"/>
      <c r="U215" s="8"/>
      <c r="V215" s="8"/>
      <c r="W215" s="8"/>
      <c r="X215" s="8"/>
      <c r="Y215" s="8"/>
      <c r="Z215" s="8"/>
    </row>
    <row r="216" spans="1:26" ht="12.75" customHeight="1" x14ac:dyDescent="0.3">
      <c r="A216" s="8"/>
      <c r="B216" s="8"/>
      <c r="C216" s="8"/>
      <c r="D216" s="8"/>
      <c r="E216" s="8"/>
      <c r="F216" s="8"/>
      <c r="G216" s="8"/>
      <c r="H216" s="8"/>
      <c r="I216" s="89"/>
      <c r="J216" s="8"/>
      <c r="K216" s="8"/>
      <c r="L216" s="8"/>
      <c r="M216" s="8"/>
      <c r="N216" s="8"/>
      <c r="O216" s="8"/>
      <c r="P216" s="8"/>
      <c r="Q216" s="8"/>
      <c r="R216" s="8"/>
      <c r="S216" s="8"/>
      <c r="T216" s="8"/>
      <c r="U216" s="8"/>
      <c r="V216" s="8"/>
      <c r="W216" s="8"/>
      <c r="X216" s="8"/>
      <c r="Y216" s="8"/>
      <c r="Z216" s="8"/>
    </row>
    <row r="217" spans="1:26" ht="12.75" customHeight="1" x14ac:dyDescent="0.3">
      <c r="A217" s="8"/>
      <c r="B217" s="8"/>
      <c r="C217" s="8"/>
      <c r="D217" s="8"/>
      <c r="E217" s="8"/>
      <c r="F217" s="8"/>
      <c r="G217" s="8"/>
      <c r="H217" s="8"/>
      <c r="I217" s="89"/>
      <c r="J217" s="8"/>
      <c r="K217" s="8"/>
      <c r="L217" s="8"/>
      <c r="M217" s="8"/>
      <c r="N217" s="8"/>
      <c r="O217" s="8"/>
      <c r="P217" s="8"/>
      <c r="Q217" s="8"/>
      <c r="R217" s="8"/>
      <c r="S217" s="8"/>
      <c r="T217" s="8"/>
      <c r="U217" s="8"/>
      <c r="V217" s="8"/>
      <c r="W217" s="8"/>
      <c r="X217" s="8"/>
      <c r="Y217" s="8"/>
      <c r="Z217" s="8"/>
    </row>
    <row r="218" spans="1:26" ht="12.75" customHeight="1" x14ac:dyDescent="0.3">
      <c r="A218" s="8"/>
      <c r="B218" s="8"/>
      <c r="C218" s="8"/>
      <c r="D218" s="8"/>
      <c r="E218" s="8"/>
      <c r="F218" s="8"/>
      <c r="G218" s="8"/>
      <c r="H218" s="8"/>
      <c r="I218" s="89"/>
      <c r="J218" s="8"/>
      <c r="K218" s="8"/>
      <c r="L218" s="8"/>
      <c r="M218" s="8"/>
      <c r="N218" s="8"/>
      <c r="O218" s="8"/>
      <c r="P218" s="8"/>
      <c r="Q218" s="8"/>
      <c r="R218" s="8"/>
      <c r="S218" s="8"/>
      <c r="T218" s="8"/>
      <c r="U218" s="8"/>
      <c r="V218" s="8"/>
      <c r="W218" s="8"/>
      <c r="X218" s="8"/>
      <c r="Y218" s="8"/>
      <c r="Z218" s="8"/>
    </row>
    <row r="219" spans="1:26" ht="12.75" customHeight="1" x14ac:dyDescent="0.3">
      <c r="A219" s="8"/>
      <c r="B219" s="8"/>
      <c r="C219" s="8"/>
      <c r="D219" s="8"/>
      <c r="E219" s="8"/>
      <c r="F219" s="8"/>
      <c r="G219" s="8"/>
      <c r="H219" s="8"/>
      <c r="I219" s="89"/>
      <c r="J219" s="8"/>
      <c r="K219" s="8"/>
      <c r="L219" s="8"/>
      <c r="M219" s="8"/>
      <c r="N219" s="8"/>
      <c r="O219" s="8"/>
      <c r="P219" s="8"/>
      <c r="Q219" s="8"/>
      <c r="R219" s="8"/>
      <c r="S219" s="8"/>
      <c r="T219" s="8"/>
      <c r="U219" s="8"/>
      <c r="V219" s="8"/>
      <c r="W219" s="8"/>
      <c r="X219" s="8"/>
      <c r="Y219" s="8"/>
      <c r="Z219" s="8"/>
    </row>
    <row r="220" spans="1:26" ht="12.75" customHeight="1" x14ac:dyDescent="0.3">
      <c r="A220" s="8"/>
      <c r="B220" s="8"/>
      <c r="C220" s="8"/>
      <c r="D220" s="8"/>
      <c r="E220" s="8"/>
      <c r="F220" s="8"/>
      <c r="G220" s="8"/>
      <c r="H220" s="8"/>
      <c r="I220" s="89"/>
      <c r="J220" s="8"/>
      <c r="K220" s="8"/>
      <c r="L220" s="8"/>
      <c r="M220" s="8"/>
      <c r="N220" s="8"/>
      <c r="O220" s="8"/>
      <c r="P220" s="8"/>
      <c r="Q220" s="8"/>
      <c r="R220" s="8"/>
      <c r="S220" s="8"/>
      <c r="T220" s="8"/>
      <c r="U220" s="8"/>
      <c r="V220" s="8"/>
      <c r="W220" s="8"/>
      <c r="X220" s="8"/>
      <c r="Y220" s="8"/>
      <c r="Z220" s="8"/>
    </row>
    <row r="221" spans="1:26" ht="12.75" customHeight="1" x14ac:dyDescent="0.3">
      <c r="A221" s="8"/>
      <c r="B221" s="8"/>
      <c r="C221" s="8"/>
      <c r="D221" s="8"/>
      <c r="E221" s="8"/>
      <c r="F221" s="8"/>
      <c r="G221" s="8"/>
      <c r="H221" s="8"/>
      <c r="I221" s="89"/>
      <c r="J221" s="8"/>
      <c r="K221" s="8"/>
      <c r="L221" s="8"/>
      <c r="M221" s="8"/>
      <c r="N221" s="8"/>
      <c r="O221" s="8"/>
      <c r="P221" s="8"/>
      <c r="Q221" s="8"/>
      <c r="R221" s="8"/>
      <c r="S221" s="8"/>
      <c r="T221" s="8"/>
      <c r="U221" s="8"/>
      <c r="V221" s="8"/>
      <c r="W221" s="8"/>
      <c r="X221" s="8"/>
      <c r="Y221" s="8"/>
      <c r="Z221" s="8"/>
    </row>
    <row r="222" spans="1:26" ht="12.75" customHeight="1" x14ac:dyDescent="0.3">
      <c r="A222" s="8"/>
      <c r="B222" s="8"/>
      <c r="C222" s="8"/>
      <c r="D222" s="8"/>
      <c r="E222" s="8"/>
      <c r="F222" s="8"/>
      <c r="G222" s="8"/>
      <c r="H222" s="8"/>
      <c r="I222" s="89"/>
      <c r="J222" s="8"/>
      <c r="K222" s="8"/>
      <c r="L222" s="8"/>
      <c r="M222" s="8"/>
      <c r="N222" s="8"/>
      <c r="O222" s="8"/>
      <c r="P222" s="8"/>
      <c r="Q222" s="8"/>
      <c r="R222" s="8"/>
      <c r="S222" s="8"/>
      <c r="T222" s="8"/>
      <c r="U222" s="8"/>
      <c r="V222" s="8"/>
      <c r="W222" s="8"/>
      <c r="X222" s="8"/>
      <c r="Y222" s="8"/>
      <c r="Z222" s="8"/>
    </row>
    <row r="223" spans="1:26" ht="12.75" customHeight="1" x14ac:dyDescent="0.3">
      <c r="A223" s="8"/>
      <c r="B223" s="8"/>
      <c r="C223" s="8"/>
      <c r="D223" s="8"/>
      <c r="E223" s="8"/>
      <c r="F223" s="8"/>
      <c r="G223" s="8"/>
      <c r="H223" s="8"/>
      <c r="I223" s="89"/>
      <c r="J223" s="8"/>
      <c r="K223" s="8"/>
      <c r="L223" s="8"/>
      <c r="M223" s="8"/>
      <c r="N223" s="8"/>
      <c r="O223" s="8"/>
      <c r="P223" s="8"/>
      <c r="Q223" s="8"/>
      <c r="R223" s="8"/>
      <c r="S223" s="8"/>
      <c r="T223" s="8"/>
      <c r="U223" s="8"/>
      <c r="V223" s="8"/>
      <c r="W223" s="8"/>
      <c r="X223" s="8"/>
      <c r="Y223" s="8"/>
      <c r="Z223" s="8"/>
    </row>
    <row r="224" spans="1:26" ht="12.75" customHeight="1" x14ac:dyDescent="0.3">
      <c r="A224" s="8"/>
      <c r="B224" s="8"/>
      <c r="C224" s="8"/>
      <c r="D224" s="8"/>
      <c r="E224" s="8"/>
      <c r="F224" s="8"/>
      <c r="G224" s="8"/>
      <c r="H224" s="8"/>
      <c r="I224" s="89"/>
      <c r="J224" s="8"/>
      <c r="K224" s="8"/>
      <c r="L224" s="8"/>
      <c r="M224" s="8"/>
      <c r="N224" s="8"/>
      <c r="O224" s="8"/>
      <c r="P224" s="8"/>
      <c r="Q224" s="8"/>
      <c r="R224" s="8"/>
      <c r="S224" s="8"/>
      <c r="T224" s="8"/>
      <c r="U224" s="8"/>
      <c r="V224" s="8"/>
      <c r="W224" s="8"/>
      <c r="X224" s="8"/>
      <c r="Y224" s="8"/>
      <c r="Z224" s="8"/>
    </row>
    <row r="225" spans="1:26" ht="12.75" customHeight="1" x14ac:dyDescent="0.3">
      <c r="A225" s="8"/>
      <c r="B225" s="8"/>
      <c r="C225" s="8"/>
      <c r="D225" s="8"/>
      <c r="E225" s="8"/>
      <c r="F225" s="8"/>
      <c r="G225" s="8"/>
      <c r="H225" s="8"/>
      <c r="I225" s="89"/>
      <c r="J225" s="8"/>
      <c r="K225" s="8"/>
      <c r="L225" s="8"/>
      <c r="M225" s="8"/>
      <c r="N225" s="8"/>
      <c r="O225" s="8"/>
      <c r="P225" s="8"/>
      <c r="Q225" s="8"/>
      <c r="R225" s="8"/>
      <c r="S225" s="8"/>
      <c r="T225" s="8"/>
      <c r="U225" s="8"/>
      <c r="V225" s="8"/>
      <c r="W225" s="8"/>
      <c r="X225" s="8"/>
      <c r="Y225" s="8"/>
      <c r="Z225" s="8"/>
    </row>
    <row r="226" spans="1:26" ht="12.75" customHeight="1" x14ac:dyDescent="0.3">
      <c r="A226" s="8"/>
      <c r="B226" s="8"/>
      <c r="C226" s="8"/>
      <c r="D226" s="8"/>
      <c r="E226" s="8"/>
      <c r="F226" s="8"/>
      <c r="G226" s="8"/>
      <c r="H226" s="8"/>
      <c r="I226" s="89"/>
      <c r="J226" s="8"/>
      <c r="K226" s="8"/>
      <c r="L226" s="8"/>
      <c r="M226" s="8"/>
      <c r="N226" s="8"/>
      <c r="O226" s="8"/>
      <c r="P226" s="8"/>
      <c r="Q226" s="8"/>
      <c r="R226" s="8"/>
      <c r="S226" s="8"/>
      <c r="T226" s="8"/>
      <c r="U226" s="8"/>
      <c r="V226" s="8"/>
      <c r="W226" s="8"/>
      <c r="X226" s="8"/>
      <c r="Y226" s="8"/>
      <c r="Z226" s="8"/>
    </row>
    <row r="227" spans="1:26" ht="12.75" customHeight="1" x14ac:dyDescent="0.3">
      <c r="A227" s="8"/>
      <c r="B227" s="8"/>
      <c r="C227" s="8"/>
      <c r="D227" s="8"/>
      <c r="E227" s="8"/>
      <c r="F227" s="8"/>
      <c r="G227" s="8"/>
      <c r="H227" s="8"/>
      <c r="I227" s="89"/>
      <c r="J227" s="8"/>
      <c r="K227" s="8"/>
      <c r="L227" s="8"/>
      <c r="M227" s="8"/>
      <c r="N227" s="8"/>
      <c r="O227" s="8"/>
      <c r="P227" s="8"/>
      <c r="Q227" s="8"/>
      <c r="R227" s="8"/>
      <c r="S227" s="8"/>
      <c r="T227" s="8"/>
      <c r="U227" s="8"/>
      <c r="V227" s="8"/>
      <c r="W227" s="8"/>
      <c r="X227" s="8"/>
      <c r="Y227" s="8"/>
      <c r="Z227" s="8"/>
    </row>
    <row r="228" spans="1:26" ht="12.75" customHeight="1" x14ac:dyDescent="0.3">
      <c r="A228" s="8"/>
      <c r="B228" s="8"/>
      <c r="C228" s="8"/>
      <c r="D228" s="8"/>
      <c r="E228" s="8"/>
      <c r="F228" s="8"/>
      <c r="G228" s="8"/>
      <c r="H228" s="8"/>
      <c r="I228" s="89"/>
      <c r="J228" s="8"/>
      <c r="K228" s="8"/>
      <c r="L228" s="8"/>
      <c r="M228" s="8"/>
      <c r="N228" s="8"/>
      <c r="O228" s="8"/>
      <c r="P228" s="8"/>
      <c r="Q228" s="8"/>
      <c r="R228" s="8"/>
      <c r="S228" s="8"/>
      <c r="T228" s="8"/>
      <c r="U228" s="8"/>
      <c r="V228" s="8"/>
      <c r="W228" s="8"/>
      <c r="X228" s="8"/>
      <c r="Y228" s="8"/>
      <c r="Z228" s="8"/>
    </row>
    <row r="229" spans="1:26" ht="12.75" customHeight="1" x14ac:dyDescent="0.3">
      <c r="A229" s="8"/>
      <c r="B229" s="8"/>
      <c r="C229" s="8"/>
      <c r="D229" s="8"/>
      <c r="E229" s="8"/>
      <c r="F229" s="8"/>
      <c r="G229" s="8"/>
      <c r="H229" s="8"/>
      <c r="I229" s="89"/>
      <c r="J229" s="8"/>
      <c r="K229" s="8"/>
      <c r="L229" s="8"/>
      <c r="M229" s="8"/>
      <c r="N229" s="8"/>
      <c r="O229" s="8"/>
      <c r="P229" s="8"/>
      <c r="Q229" s="8"/>
      <c r="R229" s="8"/>
      <c r="S229" s="8"/>
      <c r="T229" s="8"/>
      <c r="U229" s="8"/>
      <c r="V229" s="8"/>
      <c r="W229" s="8"/>
      <c r="X229" s="8"/>
      <c r="Y229" s="8"/>
      <c r="Z229" s="8"/>
    </row>
    <row r="230" spans="1:26" ht="12.75" customHeight="1" x14ac:dyDescent="0.3">
      <c r="A230" s="8"/>
      <c r="B230" s="8"/>
      <c r="C230" s="8"/>
      <c r="D230" s="8"/>
      <c r="E230" s="8"/>
      <c r="F230" s="8"/>
      <c r="G230" s="8"/>
      <c r="H230" s="8"/>
      <c r="I230" s="89"/>
      <c r="J230" s="8"/>
      <c r="K230" s="8"/>
      <c r="L230" s="8"/>
      <c r="M230" s="8"/>
      <c r="N230" s="8"/>
      <c r="O230" s="8"/>
      <c r="P230" s="8"/>
      <c r="Q230" s="8"/>
      <c r="R230" s="8"/>
      <c r="S230" s="8"/>
      <c r="T230" s="8"/>
      <c r="U230" s="8"/>
      <c r="V230" s="8"/>
      <c r="W230" s="8"/>
      <c r="X230" s="8"/>
      <c r="Y230" s="8"/>
      <c r="Z230" s="8"/>
    </row>
    <row r="231" spans="1:26" ht="12.75" customHeight="1" x14ac:dyDescent="0.3">
      <c r="A231" s="8"/>
      <c r="B231" s="8"/>
      <c r="C231" s="8"/>
      <c r="D231" s="8"/>
      <c r="E231" s="8"/>
      <c r="F231" s="8"/>
      <c r="G231" s="8"/>
      <c r="H231" s="8"/>
      <c r="I231" s="89"/>
      <c r="J231" s="8"/>
      <c r="K231" s="8"/>
      <c r="L231" s="8"/>
      <c r="M231" s="8"/>
      <c r="N231" s="8"/>
      <c r="O231" s="8"/>
      <c r="P231" s="8"/>
      <c r="Q231" s="8"/>
      <c r="R231" s="8"/>
      <c r="S231" s="8"/>
      <c r="T231" s="8"/>
      <c r="U231" s="8"/>
      <c r="V231" s="8"/>
      <c r="W231" s="8"/>
      <c r="X231" s="8"/>
      <c r="Y231" s="8"/>
      <c r="Z231" s="8"/>
    </row>
    <row r="232" spans="1:26" ht="12.75" customHeight="1" x14ac:dyDescent="0.3">
      <c r="A232" s="8"/>
      <c r="B232" s="8"/>
      <c r="C232" s="8"/>
      <c r="D232" s="8"/>
      <c r="E232" s="8"/>
      <c r="F232" s="8"/>
      <c r="G232" s="8"/>
      <c r="H232" s="8"/>
      <c r="I232" s="89"/>
      <c r="J232" s="8"/>
      <c r="K232" s="8"/>
      <c r="L232" s="8"/>
      <c r="M232" s="8"/>
      <c r="N232" s="8"/>
      <c r="O232" s="8"/>
      <c r="P232" s="8"/>
      <c r="Q232" s="8"/>
      <c r="R232" s="8"/>
      <c r="S232" s="8"/>
      <c r="T232" s="8"/>
      <c r="U232" s="8"/>
      <c r="V232" s="8"/>
      <c r="W232" s="8"/>
      <c r="X232" s="8"/>
      <c r="Y232" s="8"/>
      <c r="Z232" s="8"/>
    </row>
    <row r="233" spans="1:26" ht="12.75" customHeight="1" x14ac:dyDescent="0.3">
      <c r="A233" s="8"/>
      <c r="B233" s="8"/>
      <c r="C233" s="8"/>
      <c r="D233" s="8"/>
      <c r="E233" s="8"/>
      <c r="F233" s="8"/>
      <c r="G233" s="8"/>
      <c r="H233" s="8"/>
      <c r="I233" s="89"/>
      <c r="J233" s="8"/>
      <c r="K233" s="8"/>
      <c r="L233" s="8"/>
      <c r="M233" s="8"/>
      <c r="N233" s="8"/>
      <c r="O233" s="8"/>
      <c r="P233" s="8"/>
      <c r="Q233" s="8"/>
      <c r="R233" s="8"/>
      <c r="S233" s="8"/>
      <c r="T233" s="8"/>
      <c r="U233" s="8"/>
      <c r="V233" s="8"/>
      <c r="W233" s="8"/>
      <c r="X233" s="8"/>
      <c r="Y233" s="8"/>
      <c r="Z233" s="8"/>
    </row>
    <row r="234" spans="1:26" ht="12.75" customHeight="1" x14ac:dyDescent="0.3">
      <c r="A234" s="8"/>
      <c r="B234" s="8"/>
      <c r="C234" s="8"/>
      <c r="D234" s="8"/>
      <c r="E234" s="8"/>
      <c r="F234" s="8"/>
      <c r="G234" s="8"/>
      <c r="H234" s="8"/>
      <c r="I234" s="89"/>
      <c r="J234" s="8"/>
      <c r="K234" s="8"/>
      <c r="L234" s="8"/>
      <c r="M234" s="8"/>
      <c r="N234" s="8"/>
      <c r="O234" s="8"/>
      <c r="P234" s="8"/>
      <c r="Q234" s="8"/>
      <c r="R234" s="8"/>
      <c r="S234" s="8"/>
      <c r="T234" s="8"/>
      <c r="U234" s="8"/>
      <c r="V234" s="8"/>
      <c r="W234" s="8"/>
      <c r="X234" s="8"/>
      <c r="Y234" s="8"/>
      <c r="Z234" s="8"/>
    </row>
    <row r="235" spans="1:26" ht="12.75" customHeight="1" x14ac:dyDescent="0.3">
      <c r="A235" s="8"/>
      <c r="B235" s="8"/>
      <c r="C235" s="8"/>
      <c r="D235" s="8"/>
      <c r="E235" s="8"/>
      <c r="F235" s="8"/>
      <c r="G235" s="8"/>
      <c r="H235" s="8"/>
      <c r="I235" s="89"/>
      <c r="J235" s="8"/>
      <c r="K235" s="8"/>
      <c r="L235" s="8"/>
      <c r="M235" s="8"/>
      <c r="N235" s="8"/>
      <c r="O235" s="8"/>
      <c r="P235" s="8"/>
      <c r="Q235" s="8"/>
      <c r="R235" s="8"/>
      <c r="S235" s="8"/>
      <c r="T235" s="8"/>
      <c r="U235" s="8"/>
      <c r="V235" s="8"/>
      <c r="W235" s="8"/>
      <c r="X235" s="8"/>
      <c r="Y235" s="8"/>
      <c r="Z235" s="8"/>
    </row>
    <row r="236" spans="1:26" ht="12.75" customHeight="1" x14ac:dyDescent="0.3">
      <c r="A236" s="8"/>
      <c r="B236" s="8"/>
      <c r="C236" s="8"/>
      <c r="D236" s="8"/>
      <c r="E236" s="8"/>
      <c r="F236" s="8"/>
      <c r="G236" s="8"/>
      <c r="H236" s="8"/>
      <c r="I236" s="89"/>
      <c r="J236" s="8"/>
      <c r="K236" s="8"/>
      <c r="L236" s="8"/>
      <c r="M236" s="8"/>
      <c r="N236" s="8"/>
      <c r="O236" s="8"/>
      <c r="P236" s="8"/>
      <c r="Q236" s="8"/>
      <c r="R236" s="8"/>
      <c r="S236" s="8"/>
      <c r="T236" s="8"/>
      <c r="U236" s="8"/>
      <c r="V236" s="8"/>
      <c r="W236" s="8"/>
      <c r="X236" s="8"/>
      <c r="Y236" s="8"/>
      <c r="Z236" s="8"/>
    </row>
    <row r="237" spans="1:26" ht="12.75" customHeight="1" x14ac:dyDescent="0.3">
      <c r="A237" s="8"/>
      <c r="B237" s="8"/>
      <c r="C237" s="8"/>
      <c r="D237" s="8"/>
      <c r="E237" s="8"/>
      <c r="F237" s="8"/>
      <c r="G237" s="8"/>
      <c r="H237" s="8"/>
      <c r="I237" s="89"/>
      <c r="J237" s="8"/>
      <c r="K237" s="8"/>
      <c r="L237" s="8"/>
      <c r="M237" s="8"/>
      <c r="N237" s="8"/>
      <c r="O237" s="8"/>
      <c r="P237" s="8"/>
      <c r="Q237" s="8"/>
      <c r="R237" s="8"/>
      <c r="S237" s="8"/>
      <c r="T237" s="8"/>
      <c r="U237" s="8"/>
      <c r="V237" s="8"/>
      <c r="W237" s="8"/>
      <c r="X237" s="8"/>
      <c r="Y237" s="8"/>
      <c r="Z237" s="8"/>
    </row>
    <row r="238" spans="1:26" ht="12.75" customHeight="1" x14ac:dyDescent="0.3">
      <c r="A238" s="8"/>
      <c r="B238" s="8"/>
      <c r="C238" s="8"/>
      <c r="D238" s="8"/>
      <c r="E238" s="8"/>
      <c r="F238" s="8"/>
      <c r="G238" s="8"/>
      <c r="H238" s="8"/>
      <c r="I238" s="89"/>
      <c r="J238" s="8"/>
      <c r="K238" s="8"/>
      <c r="L238" s="8"/>
      <c r="M238" s="8"/>
      <c r="N238" s="8"/>
      <c r="O238" s="8"/>
      <c r="P238" s="8"/>
      <c r="Q238" s="8"/>
      <c r="R238" s="8"/>
      <c r="S238" s="8"/>
      <c r="T238" s="8"/>
      <c r="U238" s="8"/>
      <c r="V238" s="8"/>
      <c r="W238" s="8"/>
      <c r="X238" s="8"/>
      <c r="Y238" s="8"/>
      <c r="Z238" s="8"/>
    </row>
    <row r="239" spans="1:26" ht="12.75" customHeight="1" x14ac:dyDescent="0.3">
      <c r="A239" s="8"/>
      <c r="B239" s="8"/>
      <c r="C239" s="8"/>
      <c r="D239" s="8"/>
      <c r="E239" s="8"/>
      <c r="F239" s="8"/>
      <c r="G239" s="8"/>
      <c r="H239" s="8"/>
      <c r="I239" s="89"/>
      <c r="J239" s="8"/>
      <c r="K239" s="8"/>
      <c r="L239" s="8"/>
      <c r="M239" s="8"/>
      <c r="N239" s="8"/>
      <c r="O239" s="8"/>
      <c r="P239" s="8"/>
      <c r="Q239" s="8"/>
      <c r="R239" s="8"/>
      <c r="S239" s="8"/>
      <c r="T239" s="8"/>
      <c r="U239" s="8"/>
      <c r="V239" s="8"/>
      <c r="W239" s="8"/>
      <c r="X239" s="8"/>
      <c r="Y239" s="8"/>
      <c r="Z239" s="8"/>
    </row>
    <row r="240" spans="1:26" ht="12.75" customHeight="1" x14ac:dyDescent="0.3">
      <c r="A240" s="8"/>
      <c r="B240" s="8"/>
      <c r="C240" s="8"/>
      <c r="D240" s="8"/>
      <c r="E240" s="8"/>
      <c r="F240" s="8"/>
      <c r="G240" s="8"/>
      <c r="H240" s="8"/>
      <c r="I240" s="89"/>
      <c r="J240" s="8"/>
      <c r="K240" s="8"/>
      <c r="L240" s="8"/>
      <c r="M240" s="8"/>
      <c r="N240" s="8"/>
      <c r="O240" s="8"/>
      <c r="P240" s="8"/>
      <c r="Q240" s="8"/>
      <c r="R240" s="8"/>
      <c r="S240" s="8"/>
      <c r="T240" s="8"/>
      <c r="U240" s="8"/>
      <c r="V240" s="8"/>
      <c r="W240" s="8"/>
      <c r="X240" s="8"/>
      <c r="Y240" s="8"/>
      <c r="Z240" s="8"/>
    </row>
    <row r="241" spans="1:26" ht="12.75" customHeight="1" x14ac:dyDescent="0.3">
      <c r="A241" s="8"/>
      <c r="B241" s="8"/>
      <c r="C241" s="8"/>
      <c r="D241" s="8"/>
      <c r="E241" s="8"/>
      <c r="F241" s="8"/>
      <c r="G241" s="8"/>
      <c r="H241" s="8"/>
      <c r="I241" s="89"/>
      <c r="J241" s="8"/>
      <c r="K241" s="8"/>
      <c r="L241" s="8"/>
      <c r="M241" s="8"/>
      <c r="N241" s="8"/>
      <c r="O241" s="8"/>
      <c r="P241" s="8"/>
      <c r="Q241" s="8"/>
      <c r="R241" s="8"/>
      <c r="S241" s="8"/>
      <c r="T241" s="8"/>
      <c r="U241" s="8"/>
      <c r="V241" s="8"/>
      <c r="W241" s="8"/>
      <c r="X241" s="8"/>
      <c r="Y241" s="8"/>
      <c r="Z241" s="8"/>
    </row>
    <row r="242" spans="1:26" ht="12.75" customHeight="1" x14ac:dyDescent="0.3">
      <c r="A242" s="8"/>
      <c r="B242" s="8"/>
      <c r="C242" s="8"/>
      <c r="D242" s="8"/>
      <c r="E242" s="8"/>
      <c r="F242" s="8"/>
      <c r="G242" s="8"/>
      <c r="H242" s="8"/>
      <c r="I242" s="89"/>
      <c r="J242" s="8"/>
      <c r="K242" s="8"/>
      <c r="L242" s="8"/>
      <c r="M242" s="8"/>
      <c r="N242" s="8"/>
      <c r="O242" s="8"/>
      <c r="P242" s="8"/>
      <c r="Q242" s="8"/>
      <c r="R242" s="8"/>
      <c r="S242" s="8"/>
      <c r="T242" s="8"/>
      <c r="U242" s="8"/>
      <c r="V242" s="8"/>
      <c r="W242" s="8"/>
      <c r="X242" s="8"/>
      <c r="Y242" s="8"/>
      <c r="Z242" s="8"/>
    </row>
    <row r="243" spans="1:26" ht="12.75" customHeight="1" x14ac:dyDescent="0.3">
      <c r="A243" s="8"/>
      <c r="B243" s="8"/>
      <c r="C243" s="8"/>
      <c r="D243" s="8"/>
      <c r="E243" s="8"/>
      <c r="F243" s="8"/>
      <c r="G243" s="8"/>
      <c r="H243" s="8"/>
      <c r="I243" s="89"/>
      <c r="J243" s="8"/>
      <c r="K243" s="8"/>
      <c r="L243" s="8"/>
      <c r="M243" s="8"/>
      <c r="N243" s="8"/>
      <c r="O243" s="8"/>
      <c r="P243" s="8"/>
      <c r="Q243" s="8"/>
      <c r="R243" s="8"/>
      <c r="S243" s="8"/>
      <c r="T243" s="8"/>
      <c r="U243" s="8"/>
      <c r="V243" s="8"/>
      <c r="W243" s="8"/>
      <c r="X243" s="8"/>
      <c r="Y243" s="8"/>
      <c r="Z243" s="8"/>
    </row>
    <row r="244" spans="1:26" ht="12.75" customHeight="1" x14ac:dyDescent="0.3">
      <c r="A244" s="8"/>
      <c r="B244" s="8"/>
      <c r="C244" s="8"/>
      <c r="D244" s="8"/>
      <c r="E244" s="8"/>
      <c r="F244" s="8"/>
      <c r="G244" s="8"/>
      <c r="H244" s="8"/>
      <c r="I244" s="89"/>
      <c r="J244" s="8"/>
      <c r="K244" s="8"/>
      <c r="L244" s="8"/>
      <c r="M244" s="8"/>
      <c r="N244" s="8"/>
      <c r="O244" s="8"/>
      <c r="P244" s="8"/>
      <c r="Q244" s="8"/>
      <c r="R244" s="8"/>
      <c r="S244" s="8"/>
      <c r="T244" s="8"/>
      <c r="U244" s="8"/>
      <c r="V244" s="8"/>
      <c r="W244" s="8"/>
      <c r="X244" s="8"/>
      <c r="Y244" s="8"/>
      <c r="Z244" s="8"/>
    </row>
    <row r="245" spans="1:26" ht="12.75" customHeight="1" x14ac:dyDescent="0.3">
      <c r="A245" s="8"/>
      <c r="B245" s="8"/>
      <c r="C245" s="8"/>
      <c r="D245" s="8"/>
      <c r="E245" s="8"/>
      <c r="F245" s="8"/>
      <c r="G245" s="8"/>
      <c r="H245" s="8"/>
      <c r="I245" s="89"/>
      <c r="J245" s="8"/>
      <c r="K245" s="8"/>
      <c r="L245" s="8"/>
      <c r="M245" s="8"/>
      <c r="N245" s="8"/>
      <c r="O245" s="8"/>
      <c r="P245" s="8"/>
      <c r="Q245" s="8"/>
      <c r="R245" s="8"/>
      <c r="S245" s="8"/>
      <c r="T245" s="8"/>
      <c r="U245" s="8"/>
      <c r="V245" s="8"/>
      <c r="W245" s="8"/>
      <c r="X245" s="8"/>
      <c r="Y245" s="8"/>
      <c r="Z245" s="8"/>
    </row>
    <row r="246" spans="1:26" ht="12.75" customHeight="1" x14ac:dyDescent="0.3">
      <c r="A246" s="8"/>
      <c r="B246" s="8"/>
      <c r="C246" s="8"/>
      <c r="D246" s="8"/>
      <c r="E246" s="8"/>
      <c r="F246" s="8"/>
      <c r="G246" s="8"/>
      <c r="H246" s="8"/>
      <c r="I246" s="89"/>
      <c r="J246" s="8"/>
      <c r="K246" s="8"/>
      <c r="L246" s="8"/>
      <c r="M246" s="8"/>
      <c r="N246" s="8"/>
      <c r="O246" s="8"/>
      <c r="P246" s="8"/>
      <c r="Q246" s="8"/>
      <c r="R246" s="8"/>
      <c r="S246" s="8"/>
      <c r="T246" s="8"/>
      <c r="U246" s="8"/>
      <c r="V246" s="8"/>
      <c r="W246" s="8"/>
      <c r="X246" s="8"/>
      <c r="Y246" s="8"/>
      <c r="Z246" s="8"/>
    </row>
    <row r="247" spans="1:26" ht="12.75" customHeight="1" x14ac:dyDescent="0.3">
      <c r="A247" s="8"/>
      <c r="B247" s="8"/>
      <c r="C247" s="8"/>
      <c r="D247" s="8"/>
      <c r="E247" s="8"/>
      <c r="F247" s="8"/>
      <c r="G247" s="8"/>
      <c r="H247" s="8"/>
      <c r="I247" s="89"/>
      <c r="J247" s="8"/>
      <c r="K247" s="8"/>
      <c r="L247" s="8"/>
      <c r="M247" s="8"/>
      <c r="N247" s="8"/>
      <c r="O247" s="8"/>
      <c r="P247" s="8"/>
      <c r="Q247" s="8"/>
      <c r="R247" s="8"/>
      <c r="S247" s="8"/>
      <c r="T247" s="8"/>
      <c r="U247" s="8"/>
      <c r="V247" s="8"/>
      <c r="W247" s="8"/>
      <c r="X247" s="8"/>
      <c r="Y247" s="8"/>
      <c r="Z247" s="8"/>
    </row>
    <row r="248" spans="1:26" ht="12.75" customHeight="1" x14ac:dyDescent="0.3">
      <c r="A248" s="8"/>
      <c r="B248" s="8"/>
      <c r="C248" s="8"/>
      <c r="D248" s="8"/>
      <c r="E248" s="8"/>
      <c r="F248" s="8"/>
      <c r="G248" s="8"/>
      <c r="H248" s="8"/>
      <c r="I248" s="89"/>
      <c r="J248" s="8"/>
      <c r="K248" s="8"/>
      <c r="L248" s="8"/>
      <c r="M248" s="8"/>
      <c r="N248" s="8"/>
      <c r="O248" s="8"/>
      <c r="P248" s="8"/>
      <c r="Q248" s="8"/>
      <c r="R248" s="8"/>
      <c r="S248" s="8"/>
      <c r="T248" s="8"/>
      <c r="U248" s="8"/>
      <c r="V248" s="8"/>
      <c r="W248" s="8"/>
      <c r="X248" s="8"/>
      <c r="Y248" s="8"/>
      <c r="Z248" s="8"/>
    </row>
    <row r="249" spans="1:26" ht="12.75" customHeight="1" x14ac:dyDescent="0.3">
      <c r="A249" s="8"/>
      <c r="B249" s="8"/>
      <c r="C249" s="8"/>
      <c r="D249" s="8"/>
      <c r="E249" s="8"/>
      <c r="F249" s="8"/>
      <c r="G249" s="8"/>
      <c r="H249" s="8"/>
      <c r="I249" s="89"/>
      <c r="J249" s="8"/>
      <c r="K249" s="8"/>
      <c r="L249" s="8"/>
      <c r="M249" s="8"/>
      <c r="N249" s="8"/>
      <c r="O249" s="8"/>
      <c r="P249" s="8"/>
      <c r="Q249" s="8"/>
      <c r="R249" s="8"/>
      <c r="S249" s="8"/>
      <c r="T249" s="8"/>
      <c r="U249" s="8"/>
      <c r="V249" s="8"/>
      <c r="W249" s="8"/>
      <c r="X249" s="8"/>
      <c r="Y249" s="8"/>
      <c r="Z249" s="8"/>
    </row>
    <row r="250" spans="1:26" ht="12.75" customHeight="1" x14ac:dyDescent="0.3">
      <c r="A250" s="8"/>
      <c r="B250" s="8"/>
      <c r="C250" s="8"/>
      <c r="D250" s="8"/>
      <c r="E250" s="8"/>
      <c r="F250" s="8"/>
      <c r="G250" s="8"/>
      <c r="H250" s="8"/>
      <c r="I250" s="89"/>
      <c r="J250" s="8"/>
      <c r="K250" s="8"/>
      <c r="L250" s="8"/>
      <c r="M250" s="8"/>
      <c r="N250" s="8"/>
      <c r="O250" s="8"/>
      <c r="P250" s="8"/>
      <c r="Q250" s="8"/>
      <c r="R250" s="8"/>
      <c r="S250" s="8"/>
      <c r="T250" s="8"/>
      <c r="U250" s="8"/>
      <c r="V250" s="8"/>
      <c r="W250" s="8"/>
      <c r="X250" s="8"/>
      <c r="Y250" s="8"/>
      <c r="Z250" s="8"/>
    </row>
    <row r="251" spans="1:26" ht="12.75" customHeight="1" x14ac:dyDescent="0.3">
      <c r="A251" s="8"/>
      <c r="B251" s="8"/>
      <c r="C251" s="8"/>
      <c r="D251" s="8"/>
      <c r="E251" s="8"/>
      <c r="F251" s="8"/>
      <c r="G251" s="8"/>
      <c r="H251" s="8"/>
      <c r="I251" s="89"/>
      <c r="J251" s="8"/>
      <c r="K251" s="8"/>
      <c r="L251" s="8"/>
      <c r="M251" s="8"/>
      <c r="N251" s="8"/>
      <c r="O251" s="8"/>
      <c r="P251" s="8"/>
      <c r="Q251" s="8"/>
      <c r="R251" s="8"/>
      <c r="S251" s="8"/>
      <c r="T251" s="8"/>
      <c r="U251" s="8"/>
      <c r="V251" s="8"/>
      <c r="W251" s="8"/>
      <c r="X251" s="8"/>
      <c r="Y251" s="8"/>
      <c r="Z251" s="8"/>
    </row>
    <row r="252" spans="1:26" ht="12.75" customHeight="1" x14ac:dyDescent="0.3">
      <c r="A252" s="8"/>
      <c r="B252" s="8"/>
      <c r="C252" s="8"/>
      <c r="D252" s="8"/>
      <c r="E252" s="8"/>
      <c r="F252" s="8"/>
      <c r="G252" s="8"/>
      <c r="H252" s="8"/>
      <c r="I252" s="89"/>
      <c r="J252" s="8"/>
      <c r="K252" s="8"/>
      <c r="L252" s="8"/>
      <c r="M252" s="8"/>
      <c r="N252" s="8"/>
      <c r="O252" s="8"/>
      <c r="P252" s="8"/>
      <c r="Q252" s="8"/>
      <c r="R252" s="8"/>
      <c r="S252" s="8"/>
      <c r="T252" s="8"/>
      <c r="U252" s="8"/>
      <c r="V252" s="8"/>
      <c r="W252" s="8"/>
      <c r="X252" s="8"/>
      <c r="Y252" s="8"/>
      <c r="Z252" s="8"/>
    </row>
    <row r="253" spans="1:26" ht="12.75" customHeight="1" x14ac:dyDescent="0.3">
      <c r="A253" s="8"/>
      <c r="B253" s="8"/>
      <c r="C253" s="8"/>
      <c r="D253" s="8"/>
      <c r="E253" s="8"/>
      <c r="F253" s="8"/>
      <c r="G253" s="8"/>
      <c r="H253" s="8"/>
      <c r="I253" s="89"/>
      <c r="J253" s="8"/>
      <c r="K253" s="8"/>
      <c r="L253" s="8"/>
      <c r="M253" s="8"/>
      <c r="N253" s="8"/>
      <c r="O253" s="8"/>
      <c r="P253" s="8"/>
      <c r="Q253" s="8"/>
      <c r="R253" s="8"/>
      <c r="S253" s="8"/>
      <c r="T253" s="8"/>
      <c r="U253" s="8"/>
      <c r="V253" s="8"/>
      <c r="W253" s="8"/>
      <c r="X253" s="8"/>
      <c r="Y253" s="8"/>
      <c r="Z253" s="8"/>
    </row>
    <row r="254" spans="1:26" ht="12.75" customHeight="1" x14ac:dyDescent="0.3">
      <c r="A254" s="8"/>
      <c r="B254" s="8"/>
      <c r="C254" s="8"/>
      <c r="D254" s="8"/>
      <c r="E254" s="8"/>
      <c r="F254" s="8"/>
      <c r="G254" s="8"/>
      <c r="H254" s="8"/>
      <c r="I254" s="89"/>
      <c r="J254" s="8"/>
      <c r="K254" s="8"/>
      <c r="L254" s="8"/>
      <c r="M254" s="8"/>
      <c r="N254" s="8"/>
      <c r="O254" s="8"/>
      <c r="P254" s="8"/>
      <c r="Q254" s="8"/>
      <c r="R254" s="8"/>
      <c r="S254" s="8"/>
      <c r="T254" s="8"/>
      <c r="U254" s="8"/>
      <c r="V254" s="8"/>
      <c r="W254" s="8"/>
      <c r="X254" s="8"/>
      <c r="Y254" s="8"/>
      <c r="Z254" s="8"/>
    </row>
    <row r="255" spans="1:26" ht="12.75" customHeight="1" x14ac:dyDescent="0.3">
      <c r="A255" s="8"/>
      <c r="B255" s="8"/>
      <c r="C255" s="8"/>
      <c r="D255" s="8"/>
      <c r="E255" s="8"/>
      <c r="F255" s="8"/>
      <c r="G255" s="8"/>
      <c r="H255" s="8"/>
      <c r="I255" s="89"/>
      <c r="J255" s="8"/>
      <c r="K255" s="8"/>
      <c r="L255" s="8"/>
      <c r="M255" s="8"/>
      <c r="N255" s="8"/>
      <c r="O255" s="8"/>
      <c r="P255" s="8"/>
      <c r="Q255" s="8"/>
      <c r="R255" s="8"/>
      <c r="S255" s="8"/>
      <c r="T255" s="8"/>
      <c r="U255" s="8"/>
      <c r="V255" s="8"/>
      <c r="W255" s="8"/>
      <c r="X255" s="8"/>
      <c r="Y255" s="8"/>
      <c r="Z255" s="8"/>
    </row>
    <row r="256" spans="1:26" ht="12.75" customHeight="1" x14ac:dyDescent="0.3">
      <c r="A256" s="8"/>
      <c r="B256" s="8"/>
      <c r="C256" s="8"/>
      <c r="D256" s="8"/>
      <c r="E256" s="8"/>
      <c r="F256" s="8"/>
      <c r="G256" s="8"/>
      <c r="H256" s="8"/>
      <c r="I256" s="89"/>
      <c r="J256" s="8"/>
      <c r="K256" s="8"/>
      <c r="L256" s="8"/>
      <c r="M256" s="8"/>
      <c r="N256" s="8"/>
      <c r="O256" s="8"/>
      <c r="P256" s="8"/>
      <c r="Q256" s="8"/>
      <c r="R256" s="8"/>
      <c r="S256" s="8"/>
      <c r="T256" s="8"/>
      <c r="U256" s="8"/>
      <c r="V256" s="8"/>
      <c r="W256" s="8"/>
      <c r="X256" s="8"/>
      <c r="Y256" s="8"/>
      <c r="Z256" s="8"/>
    </row>
    <row r="257" spans="1:26" ht="12.75" customHeight="1" x14ac:dyDescent="0.3">
      <c r="A257" s="8"/>
      <c r="B257" s="8"/>
      <c r="C257" s="8"/>
      <c r="D257" s="8"/>
      <c r="E257" s="8"/>
      <c r="F257" s="8"/>
      <c r="G257" s="8"/>
      <c r="H257" s="8"/>
      <c r="I257" s="89"/>
      <c r="J257" s="8"/>
      <c r="K257" s="8"/>
      <c r="L257" s="8"/>
      <c r="M257" s="8"/>
      <c r="N257" s="8"/>
      <c r="O257" s="8"/>
      <c r="P257" s="8"/>
      <c r="Q257" s="8"/>
      <c r="R257" s="8"/>
      <c r="S257" s="8"/>
      <c r="T257" s="8"/>
      <c r="U257" s="8"/>
      <c r="V257" s="8"/>
      <c r="W257" s="8"/>
      <c r="X257" s="8"/>
      <c r="Y257" s="8"/>
      <c r="Z257" s="8"/>
    </row>
    <row r="258" spans="1:26" ht="12.75" customHeight="1" x14ac:dyDescent="0.3">
      <c r="A258" s="8"/>
      <c r="B258" s="8"/>
      <c r="C258" s="8"/>
      <c r="D258" s="8"/>
      <c r="E258" s="8"/>
      <c r="F258" s="8"/>
      <c r="G258" s="8"/>
      <c r="H258" s="8"/>
      <c r="I258" s="89"/>
      <c r="J258" s="8"/>
      <c r="K258" s="8"/>
      <c r="L258" s="8"/>
      <c r="M258" s="8"/>
      <c r="N258" s="8"/>
      <c r="O258" s="8"/>
      <c r="P258" s="8"/>
      <c r="Q258" s="8"/>
      <c r="R258" s="8"/>
      <c r="S258" s="8"/>
      <c r="T258" s="8"/>
      <c r="U258" s="8"/>
      <c r="V258" s="8"/>
      <c r="W258" s="8"/>
      <c r="X258" s="8"/>
      <c r="Y258" s="8"/>
      <c r="Z258" s="8"/>
    </row>
    <row r="259" spans="1:26" ht="12.75" customHeight="1" x14ac:dyDescent="0.3">
      <c r="A259" s="8"/>
      <c r="B259" s="8"/>
      <c r="C259" s="8"/>
      <c r="D259" s="8"/>
      <c r="E259" s="8"/>
      <c r="F259" s="8"/>
      <c r="G259" s="8"/>
      <c r="H259" s="8"/>
      <c r="I259" s="89"/>
      <c r="J259" s="8"/>
      <c r="K259" s="8"/>
      <c r="L259" s="8"/>
      <c r="M259" s="8"/>
      <c r="N259" s="8"/>
      <c r="O259" s="8"/>
      <c r="P259" s="8"/>
      <c r="Q259" s="8"/>
      <c r="R259" s="8"/>
      <c r="S259" s="8"/>
      <c r="T259" s="8"/>
      <c r="U259" s="8"/>
      <c r="V259" s="8"/>
      <c r="W259" s="8"/>
      <c r="X259" s="8"/>
      <c r="Y259" s="8"/>
      <c r="Z259" s="8"/>
    </row>
    <row r="260" spans="1:26" ht="12.75" customHeight="1" x14ac:dyDescent="0.3">
      <c r="A260" s="8"/>
      <c r="B260" s="8"/>
      <c r="C260" s="8"/>
      <c r="D260" s="8"/>
      <c r="E260" s="8"/>
      <c r="F260" s="8"/>
      <c r="G260" s="8"/>
      <c r="H260" s="8"/>
      <c r="I260" s="89"/>
      <c r="J260" s="8"/>
      <c r="K260" s="8"/>
      <c r="L260" s="8"/>
      <c r="M260" s="8"/>
      <c r="N260" s="8"/>
      <c r="O260" s="8"/>
      <c r="P260" s="8"/>
      <c r="Q260" s="8"/>
      <c r="R260" s="8"/>
      <c r="S260" s="8"/>
      <c r="T260" s="8"/>
      <c r="U260" s="8"/>
      <c r="V260" s="8"/>
      <c r="W260" s="8"/>
      <c r="X260" s="8"/>
      <c r="Y260" s="8"/>
      <c r="Z260" s="8"/>
    </row>
    <row r="261" spans="1:26" ht="12.75" customHeight="1" x14ac:dyDescent="0.3">
      <c r="A261" s="8"/>
      <c r="B261" s="8"/>
      <c r="C261" s="8"/>
      <c r="D261" s="8"/>
      <c r="E261" s="8"/>
      <c r="F261" s="8"/>
      <c r="G261" s="8"/>
      <c r="H261" s="8"/>
      <c r="I261" s="89"/>
      <c r="J261" s="8"/>
      <c r="K261" s="8"/>
      <c r="L261" s="8"/>
      <c r="M261" s="8"/>
      <c r="N261" s="8"/>
      <c r="O261" s="8"/>
      <c r="P261" s="8"/>
      <c r="Q261" s="8"/>
      <c r="R261" s="8"/>
      <c r="S261" s="8"/>
      <c r="T261" s="8"/>
      <c r="U261" s="8"/>
      <c r="V261" s="8"/>
      <c r="W261" s="8"/>
      <c r="X261" s="8"/>
      <c r="Y261" s="8"/>
      <c r="Z261" s="8"/>
    </row>
    <row r="262" spans="1:26" ht="12.75" customHeight="1" x14ac:dyDescent="0.3">
      <c r="A262" s="8"/>
      <c r="B262" s="8"/>
      <c r="C262" s="8"/>
      <c r="D262" s="8"/>
      <c r="E262" s="8"/>
      <c r="F262" s="8"/>
      <c r="G262" s="8"/>
      <c r="H262" s="8"/>
      <c r="I262" s="89"/>
      <c r="J262" s="8"/>
      <c r="K262" s="8"/>
      <c r="L262" s="8"/>
      <c r="M262" s="8"/>
      <c r="N262" s="8"/>
      <c r="O262" s="8"/>
      <c r="P262" s="8"/>
      <c r="Q262" s="8"/>
      <c r="R262" s="8"/>
      <c r="S262" s="8"/>
      <c r="T262" s="8"/>
      <c r="U262" s="8"/>
      <c r="V262" s="8"/>
      <c r="W262" s="8"/>
      <c r="X262" s="8"/>
      <c r="Y262" s="8"/>
      <c r="Z262" s="8"/>
    </row>
    <row r="263" spans="1:26" ht="12.75" customHeight="1" x14ac:dyDescent="0.3">
      <c r="A263" s="8"/>
      <c r="B263" s="8"/>
      <c r="C263" s="8"/>
      <c r="D263" s="8"/>
      <c r="E263" s="8"/>
      <c r="F263" s="8"/>
      <c r="G263" s="8"/>
      <c r="H263" s="8"/>
      <c r="I263" s="89"/>
      <c r="J263" s="8"/>
      <c r="K263" s="8"/>
      <c r="L263" s="8"/>
      <c r="M263" s="8"/>
      <c r="N263" s="8"/>
      <c r="O263" s="8"/>
      <c r="P263" s="8"/>
      <c r="Q263" s="8"/>
      <c r="R263" s="8"/>
      <c r="S263" s="8"/>
      <c r="T263" s="8"/>
      <c r="U263" s="8"/>
      <c r="V263" s="8"/>
      <c r="W263" s="8"/>
      <c r="X263" s="8"/>
      <c r="Y263" s="8"/>
      <c r="Z263" s="8"/>
    </row>
    <row r="264" spans="1:26" ht="12.75" customHeight="1" x14ac:dyDescent="0.3">
      <c r="A264" s="8"/>
      <c r="B264" s="8"/>
      <c r="C264" s="8"/>
      <c r="D264" s="8"/>
      <c r="E264" s="8"/>
      <c r="F264" s="8"/>
      <c r="G264" s="8"/>
      <c r="H264" s="8"/>
      <c r="I264" s="89"/>
      <c r="J264" s="8"/>
      <c r="K264" s="8"/>
      <c r="L264" s="8"/>
      <c r="M264" s="8"/>
      <c r="N264" s="8"/>
      <c r="O264" s="8"/>
      <c r="P264" s="8"/>
      <c r="Q264" s="8"/>
      <c r="R264" s="8"/>
      <c r="S264" s="8"/>
      <c r="T264" s="8"/>
      <c r="U264" s="8"/>
      <c r="V264" s="8"/>
      <c r="W264" s="8"/>
      <c r="X264" s="8"/>
      <c r="Y264" s="8"/>
      <c r="Z264" s="8"/>
    </row>
    <row r="265" spans="1:26" ht="12.75" customHeight="1" x14ac:dyDescent="0.3">
      <c r="A265" s="8"/>
      <c r="B265" s="8"/>
      <c r="C265" s="8"/>
      <c r="D265" s="8"/>
      <c r="E265" s="8"/>
      <c r="F265" s="8"/>
      <c r="G265" s="8"/>
      <c r="H265" s="8"/>
      <c r="I265" s="89"/>
      <c r="J265" s="8"/>
      <c r="K265" s="8"/>
      <c r="L265" s="8"/>
      <c r="M265" s="8"/>
      <c r="N265" s="8"/>
      <c r="O265" s="8"/>
      <c r="P265" s="8"/>
      <c r="Q265" s="8"/>
      <c r="R265" s="8"/>
      <c r="S265" s="8"/>
      <c r="T265" s="8"/>
      <c r="U265" s="8"/>
      <c r="V265" s="8"/>
      <c r="W265" s="8"/>
      <c r="X265" s="8"/>
      <c r="Y265" s="8"/>
      <c r="Z265" s="8"/>
    </row>
    <row r="266" spans="1:26" ht="12.75" customHeight="1" x14ac:dyDescent="0.3">
      <c r="A266" s="8"/>
      <c r="B266" s="8"/>
      <c r="C266" s="8"/>
      <c r="D266" s="8"/>
      <c r="E266" s="8"/>
      <c r="F266" s="8"/>
      <c r="G266" s="8"/>
      <c r="H266" s="8"/>
      <c r="I266" s="89"/>
      <c r="J266" s="8"/>
      <c r="K266" s="8"/>
      <c r="L266" s="8"/>
      <c r="M266" s="8"/>
      <c r="N266" s="8"/>
      <c r="O266" s="8"/>
      <c r="P266" s="8"/>
      <c r="Q266" s="8"/>
      <c r="R266" s="8"/>
      <c r="S266" s="8"/>
      <c r="T266" s="8"/>
      <c r="U266" s="8"/>
      <c r="V266" s="8"/>
      <c r="W266" s="8"/>
      <c r="X266" s="8"/>
      <c r="Y266" s="8"/>
      <c r="Z266" s="8"/>
    </row>
    <row r="267" spans="1:26" ht="12.75" customHeight="1" x14ac:dyDescent="0.3">
      <c r="A267" s="8"/>
      <c r="B267" s="8"/>
      <c r="C267" s="8"/>
      <c r="D267" s="8"/>
      <c r="E267" s="8"/>
      <c r="F267" s="8"/>
      <c r="G267" s="8"/>
      <c r="H267" s="8"/>
      <c r="I267" s="89"/>
      <c r="J267" s="8"/>
      <c r="K267" s="8"/>
      <c r="L267" s="8"/>
      <c r="M267" s="8"/>
      <c r="N267" s="8"/>
      <c r="O267" s="8"/>
      <c r="P267" s="8"/>
      <c r="Q267" s="8"/>
      <c r="R267" s="8"/>
      <c r="S267" s="8"/>
      <c r="T267" s="8"/>
      <c r="U267" s="8"/>
      <c r="V267" s="8"/>
      <c r="W267" s="8"/>
      <c r="X267" s="8"/>
      <c r="Y267" s="8"/>
      <c r="Z267" s="8"/>
    </row>
    <row r="268" spans="1:26" ht="12.75" customHeight="1" x14ac:dyDescent="0.3">
      <c r="A268" s="8"/>
      <c r="B268" s="8"/>
      <c r="C268" s="8"/>
      <c r="D268" s="8"/>
      <c r="E268" s="8"/>
      <c r="F268" s="8"/>
      <c r="G268" s="8"/>
      <c r="H268" s="8"/>
      <c r="I268" s="89"/>
      <c r="J268" s="8"/>
      <c r="K268" s="8"/>
      <c r="L268" s="8"/>
      <c r="M268" s="8"/>
      <c r="N268" s="8"/>
      <c r="O268" s="8"/>
      <c r="P268" s="8"/>
      <c r="Q268" s="8"/>
      <c r="R268" s="8"/>
      <c r="S268" s="8"/>
      <c r="T268" s="8"/>
      <c r="U268" s="8"/>
      <c r="V268" s="8"/>
      <c r="W268" s="8"/>
      <c r="X268" s="8"/>
      <c r="Y268" s="8"/>
      <c r="Z268" s="8"/>
    </row>
    <row r="269" spans="1:26" ht="12.75" customHeight="1" x14ac:dyDescent="0.3">
      <c r="A269" s="8"/>
      <c r="B269" s="8"/>
      <c r="C269" s="8"/>
      <c r="D269" s="8"/>
      <c r="E269" s="8"/>
      <c r="F269" s="8"/>
      <c r="G269" s="8"/>
      <c r="H269" s="8"/>
      <c r="I269" s="89"/>
      <c r="J269" s="8"/>
      <c r="K269" s="8"/>
      <c r="L269" s="8"/>
      <c r="M269" s="8"/>
      <c r="N269" s="8"/>
      <c r="O269" s="8"/>
      <c r="P269" s="8"/>
      <c r="Q269" s="8"/>
      <c r="R269" s="8"/>
      <c r="S269" s="8"/>
      <c r="T269" s="8"/>
      <c r="U269" s="8"/>
      <c r="V269" s="8"/>
      <c r="W269" s="8"/>
      <c r="X269" s="8"/>
      <c r="Y269" s="8"/>
      <c r="Z269" s="8"/>
    </row>
    <row r="270" spans="1:26" ht="12.75" customHeight="1" x14ac:dyDescent="0.3">
      <c r="A270" s="8"/>
      <c r="B270" s="8"/>
      <c r="C270" s="8"/>
      <c r="D270" s="8"/>
      <c r="E270" s="8"/>
      <c r="F270" s="8"/>
      <c r="G270" s="8"/>
      <c r="H270" s="8"/>
      <c r="I270" s="89"/>
      <c r="J270" s="8"/>
      <c r="K270" s="8"/>
      <c r="L270" s="8"/>
      <c r="M270" s="8"/>
      <c r="N270" s="8"/>
      <c r="O270" s="8"/>
      <c r="P270" s="8"/>
      <c r="Q270" s="8"/>
      <c r="R270" s="8"/>
      <c r="S270" s="8"/>
      <c r="T270" s="8"/>
      <c r="U270" s="8"/>
      <c r="V270" s="8"/>
      <c r="W270" s="8"/>
      <c r="X270" s="8"/>
      <c r="Y270" s="8"/>
      <c r="Z270" s="8"/>
    </row>
    <row r="271" spans="1:26" ht="12.75" customHeight="1" x14ac:dyDescent="0.3">
      <c r="A271" s="8"/>
      <c r="B271" s="8"/>
      <c r="C271" s="8"/>
      <c r="D271" s="8"/>
      <c r="E271" s="8"/>
      <c r="F271" s="8"/>
      <c r="G271" s="8"/>
      <c r="H271" s="8"/>
      <c r="I271" s="89"/>
      <c r="J271" s="8"/>
      <c r="K271" s="8"/>
      <c r="L271" s="8"/>
      <c r="M271" s="8"/>
      <c r="N271" s="8"/>
      <c r="O271" s="8"/>
      <c r="P271" s="8"/>
      <c r="Q271" s="8"/>
      <c r="R271" s="8"/>
      <c r="S271" s="8"/>
      <c r="T271" s="8"/>
      <c r="U271" s="8"/>
      <c r="V271" s="8"/>
      <c r="W271" s="8"/>
      <c r="X271" s="8"/>
      <c r="Y271" s="8"/>
      <c r="Z271" s="8"/>
    </row>
    <row r="272" spans="1:26" ht="12.75" customHeight="1" x14ac:dyDescent="0.3">
      <c r="A272" s="8"/>
      <c r="B272" s="8"/>
      <c r="C272" s="8"/>
      <c r="D272" s="8"/>
      <c r="E272" s="8"/>
      <c r="F272" s="8"/>
      <c r="G272" s="8"/>
      <c r="H272" s="8"/>
      <c r="I272" s="89"/>
      <c r="J272" s="8"/>
      <c r="K272" s="8"/>
      <c r="L272" s="8"/>
      <c r="M272" s="8"/>
      <c r="N272" s="8"/>
      <c r="O272" s="8"/>
      <c r="P272" s="8"/>
      <c r="Q272" s="8"/>
      <c r="R272" s="8"/>
      <c r="S272" s="8"/>
      <c r="T272" s="8"/>
      <c r="U272" s="8"/>
      <c r="V272" s="8"/>
      <c r="W272" s="8"/>
      <c r="X272" s="8"/>
      <c r="Y272" s="8"/>
      <c r="Z272" s="8"/>
    </row>
    <row r="273" spans="1:26" ht="12.75" customHeight="1" x14ac:dyDescent="0.3">
      <c r="A273" s="8"/>
      <c r="B273" s="8"/>
      <c r="C273" s="8"/>
      <c r="D273" s="8"/>
      <c r="E273" s="8"/>
      <c r="F273" s="8"/>
      <c r="G273" s="8"/>
      <c r="H273" s="8"/>
      <c r="I273" s="89"/>
      <c r="J273" s="8"/>
      <c r="K273" s="8"/>
      <c r="L273" s="8"/>
      <c r="M273" s="8"/>
      <c r="N273" s="8"/>
      <c r="O273" s="8"/>
      <c r="P273" s="8"/>
      <c r="Q273" s="8"/>
      <c r="R273" s="8"/>
      <c r="S273" s="8"/>
      <c r="T273" s="8"/>
      <c r="U273" s="8"/>
      <c r="V273" s="8"/>
      <c r="W273" s="8"/>
      <c r="X273" s="8"/>
      <c r="Y273" s="8"/>
      <c r="Z273" s="8"/>
    </row>
    <row r="274" spans="1:26" ht="12.75" customHeight="1" x14ac:dyDescent="0.3">
      <c r="A274" s="8"/>
      <c r="B274" s="8"/>
      <c r="C274" s="8"/>
      <c r="D274" s="8"/>
      <c r="E274" s="8"/>
      <c r="F274" s="8"/>
      <c r="G274" s="8"/>
      <c r="H274" s="8"/>
      <c r="I274" s="89"/>
      <c r="J274" s="8"/>
      <c r="K274" s="8"/>
      <c r="L274" s="8"/>
      <c r="M274" s="8"/>
      <c r="N274" s="8"/>
      <c r="O274" s="8"/>
      <c r="P274" s="8"/>
      <c r="Q274" s="8"/>
      <c r="R274" s="8"/>
      <c r="S274" s="8"/>
      <c r="T274" s="8"/>
      <c r="U274" s="8"/>
      <c r="V274" s="8"/>
      <c r="W274" s="8"/>
      <c r="X274" s="8"/>
      <c r="Y274" s="8"/>
      <c r="Z274" s="8"/>
    </row>
    <row r="275" spans="1:26" ht="12.75" customHeight="1" x14ac:dyDescent="0.3">
      <c r="A275" s="8"/>
      <c r="B275" s="8"/>
      <c r="C275" s="8"/>
      <c r="D275" s="8"/>
      <c r="E275" s="8"/>
      <c r="F275" s="8"/>
      <c r="G275" s="8"/>
      <c r="H275" s="8"/>
      <c r="I275" s="89"/>
      <c r="J275" s="8"/>
      <c r="K275" s="8"/>
      <c r="L275" s="8"/>
      <c r="M275" s="8"/>
      <c r="N275" s="8"/>
      <c r="O275" s="8"/>
      <c r="P275" s="8"/>
      <c r="Q275" s="8"/>
      <c r="R275" s="8"/>
      <c r="S275" s="8"/>
      <c r="T275" s="8"/>
      <c r="U275" s="8"/>
      <c r="V275" s="8"/>
      <c r="W275" s="8"/>
      <c r="X275" s="8"/>
      <c r="Y275" s="8"/>
      <c r="Z275" s="8"/>
    </row>
    <row r="276" spans="1:26" ht="12.75" customHeight="1" x14ac:dyDescent="0.3">
      <c r="A276" s="8"/>
      <c r="B276" s="8"/>
      <c r="C276" s="8"/>
      <c r="D276" s="8"/>
      <c r="E276" s="8"/>
      <c r="F276" s="8"/>
      <c r="G276" s="8"/>
      <c r="H276" s="8"/>
      <c r="I276" s="89"/>
      <c r="J276" s="8"/>
      <c r="K276" s="8"/>
      <c r="L276" s="8"/>
      <c r="M276" s="8"/>
      <c r="N276" s="8"/>
      <c r="O276" s="8"/>
      <c r="P276" s="8"/>
      <c r="Q276" s="8"/>
      <c r="R276" s="8"/>
      <c r="S276" s="8"/>
      <c r="T276" s="8"/>
      <c r="U276" s="8"/>
      <c r="V276" s="8"/>
      <c r="W276" s="8"/>
      <c r="X276" s="8"/>
      <c r="Y276" s="8"/>
      <c r="Z276" s="8"/>
    </row>
    <row r="277" spans="1:26" ht="12.75" customHeight="1" x14ac:dyDescent="0.3">
      <c r="A277" s="8"/>
      <c r="B277" s="8"/>
      <c r="C277" s="8"/>
      <c r="D277" s="8"/>
      <c r="E277" s="8"/>
      <c r="F277" s="8"/>
      <c r="G277" s="8"/>
      <c r="H277" s="8"/>
      <c r="I277" s="89"/>
      <c r="J277" s="8"/>
      <c r="K277" s="8"/>
      <c r="L277" s="8"/>
      <c r="M277" s="8"/>
      <c r="N277" s="8"/>
      <c r="O277" s="8"/>
      <c r="P277" s="8"/>
      <c r="Q277" s="8"/>
      <c r="R277" s="8"/>
      <c r="S277" s="8"/>
      <c r="T277" s="8"/>
      <c r="U277" s="8"/>
      <c r="V277" s="8"/>
      <c r="W277" s="8"/>
      <c r="X277" s="8"/>
      <c r="Y277" s="8"/>
      <c r="Z277" s="8"/>
    </row>
    <row r="278" spans="1:26" ht="12.75" customHeight="1" x14ac:dyDescent="0.3">
      <c r="A278" s="8"/>
      <c r="B278" s="8"/>
      <c r="C278" s="8"/>
      <c r="D278" s="8"/>
      <c r="E278" s="8"/>
      <c r="F278" s="8"/>
      <c r="G278" s="8"/>
      <c r="H278" s="8"/>
      <c r="I278" s="89"/>
      <c r="J278" s="8"/>
      <c r="K278" s="8"/>
      <c r="L278" s="8"/>
      <c r="M278" s="8"/>
      <c r="N278" s="8"/>
      <c r="O278" s="8"/>
      <c r="P278" s="8"/>
      <c r="Q278" s="8"/>
      <c r="R278" s="8"/>
      <c r="S278" s="8"/>
      <c r="T278" s="8"/>
      <c r="U278" s="8"/>
      <c r="V278" s="8"/>
      <c r="W278" s="8"/>
      <c r="X278" s="8"/>
      <c r="Y278" s="8"/>
      <c r="Z278" s="8"/>
    </row>
    <row r="279" spans="1:26" ht="12.75" customHeight="1" x14ac:dyDescent="0.3">
      <c r="A279" s="8"/>
      <c r="B279" s="8"/>
      <c r="C279" s="8"/>
      <c r="D279" s="8"/>
      <c r="E279" s="8"/>
      <c r="F279" s="8"/>
      <c r="G279" s="8"/>
      <c r="H279" s="8"/>
      <c r="I279" s="89"/>
      <c r="J279" s="8"/>
      <c r="K279" s="8"/>
      <c r="L279" s="8"/>
      <c r="M279" s="8"/>
      <c r="N279" s="8"/>
      <c r="O279" s="8"/>
      <c r="P279" s="8"/>
      <c r="Q279" s="8"/>
      <c r="R279" s="8"/>
      <c r="S279" s="8"/>
      <c r="T279" s="8"/>
      <c r="U279" s="8"/>
      <c r="V279" s="8"/>
      <c r="W279" s="8"/>
      <c r="X279" s="8"/>
      <c r="Y279" s="8"/>
      <c r="Z279" s="8"/>
    </row>
    <row r="280" spans="1:26" ht="12.75" customHeight="1" x14ac:dyDescent="0.3">
      <c r="A280" s="8"/>
      <c r="B280" s="8"/>
      <c r="C280" s="8"/>
      <c r="D280" s="8"/>
      <c r="E280" s="8"/>
      <c r="F280" s="8"/>
      <c r="G280" s="8"/>
      <c r="H280" s="8"/>
      <c r="I280" s="89"/>
      <c r="J280" s="8"/>
      <c r="K280" s="8"/>
      <c r="L280" s="8"/>
      <c r="M280" s="8"/>
      <c r="N280" s="8"/>
      <c r="O280" s="8"/>
      <c r="P280" s="8"/>
      <c r="Q280" s="8"/>
      <c r="R280" s="8"/>
      <c r="S280" s="8"/>
      <c r="T280" s="8"/>
      <c r="U280" s="8"/>
      <c r="V280" s="8"/>
      <c r="W280" s="8"/>
      <c r="X280" s="8"/>
      <c r="Y280" s="8"/>
      <c r="Z280" s="8"/>
    </row>
    <row r="281" spans="1:26" ht="12.75" customHeight="1" x14ac:dyDescent="0.3">
      <c r="A281" s="8"/>
      <c r="B281" s="8"/>
      <c r="C281" s="8"/>
      <c r="D281" s="8"/>
      <c r="E281" s="8"/>
      <c r="F281" s="8"/>
      <c r="G281" s="8"/>
      <c r="H281" s="8"/>
      <c r="I281" s="89"/>
      <c r="J281" s="8"/>
      <c r="K281" s="8"/>
      <c r="L281" s="8"/>
      <c r="M281" s="8"/>
      <c r="N281" s="8"/>
      <c r="O281" s="8"/>
      <c r="P281" s="8"/>
      <c r="Q281" s="8"/>
      <c r="R281" s="8"/>
      <c r="S281" s="8"/>
      <c r="T281" s="8"/>
      <c r="U281" s="8"/>
      <c r="V281" s="8"/>
      <c r="W281" s="8"/>
      <c r="X281" s="8"/>
      <c r="Y281" s="8"/>
      <c r="Z281" s="8"/>
    </row>
    <row r="282" spans="1:26" ht="12.75" customHeight="1" x14ac:dyDescent="0.3">
      <c r="A282" s="8"/>
      <c r="B282" s="8"/>
      <c r="C282" s="8"/>
      <c r="D282" s="8"/>
      <c r="E282" s="8"/>
      <c r="F282" s="8"/>
      <c r="G282" s="8"/>
      <c r="H282" s="8"/>
      <c r="I282" s="89"/>
      <c r="J282" s="8"/>
      <c r="K282" s="8"/>
      <c r="L282" s="8"/>
      <c r="M282" s="8"/>
      <c r="N282" s="8"/>
      <c r="O282" s="8"/>
      <c r="P282" s="8"/>
      <c r="Q282" s="8"/>
      <c r="R282" s="8"/>
      <c r="S282" s="8"/>
      <c r="T282" s="8"/>
      <c r="U282" s="8"/>
      <c r="V282" s="8"/>
      <c r="W282" s="8"/>
      <c r="X282" s="8"/>
      <c r="Y282" s="8"/>
      <c r="Z282" s="8"/>
    </row>
    <row r="283" spans="1:26" ht="12.75" customHeight="1" x14ac:dyDescent="0.3">
      <c r="A283" s="8"/>
      <c r="B283" s="8"/>
      <c r="C283" s="8"/>
      <c r="D283" s="8"/>
      <c r="E283" s="8"/>
      <c r="F283" s="8"/>
      <c r="G283" s="8"/>
      <c r="H283" s="8"/>
      <c r="I283" s="89"/>
      <c r="J283" s="8"/>
      <c r="K283" s="8"/>
      <c r="L283" s="8"/>
      <c r="M283" s="8"/>
      <c r="N283" s="8"/>
      <c r="O283" s="8"/>
      <c r="P283" s="8"/>
      <c r="Q283" s="8"/>
      <c r="R283" s="8"/>
      <c r="S283" s="8"/>
      <c r="T283" s="8"/>
      <c r="U283" s="8"/>
      <c r="V283" s="8"/>
      <c r="W283" s="8"/>
      <c r="X283" s="8"/>
      <c r="Y283" s="8"/>
      <c r="Z283" s="8"/>
    </row>
    <row r="284" spans="1:26" ht="12.75" customHeight="1" x14ac:dyDescent="0.3">
      <c r="A284" s="8"/>
      <c r="B284" s="8"/>
      <c r="C284" s="8"/>
      <c r="D284" s="8"/>
      <c r="E284" s="8"/>
      <c r="F284" s="8"/>
      <c r="G284" s="8"/>
      <c r="H284" s="8"/>
      <c r="I284" s="89"/>
      <c r="J284" s="8"/>
      <c r="K284" s="8"/>
      <c r="L284" s="8"/>
      <c r="M284" s="8"/>
      <c r="N284" s="8"/>
      <c r="O284" s="8"/>
      <c r="P284" s="8"/>
      <c r="Q284" s="8"/>
      <c r="R284" s="8"/>
      <c r="S284" s="8"/>
      <c r="T284" s="8"/>
      <c r="U284" s="8"/>
      <c r="V284" s="8"/>
      <c r="W284" s="8"/>
      <c r="X284" s="8"/>
      <c r="Y284" s="8"/>
      <c r="Z284" s="8"/>
    </row>
    <row r="285" spans="1:26" ht="12.75" customHeight="1" x14ac:dyDescent="0.3">
      <c r="A285" s="8"/>
      <c r="B285" s="8"/>
      <c r="C285" s="8"/>
      <c r="D285" s="8"/>
      <c r="E285" s="8"/>
      <c r="F285" s="8"/>
      <c r="G285" s="8"/>
      <c r="H285" s="8"/>
      <c r="I285" s="89"/>
      <c r="J285" s="8"/>
      <c r="K285" s="8"/>
      <c r="L285" s="8"/>
      <c r="M285" s="8"/>
      <c r="N285" s="8"/>
      <c r="O285" s="8"/>
      <c r="P285" s="8"/>
      <c r="Q285" s="8"/>
      <c r="R285" s="8"/>
      <c r="S285" s="8"/>
      <c r="T285" s="8"/>
      <c r="U285" s="8"/>
      <c r="V285" s="8"/>
      <c r="W285" s="8"/>
      <c r="X285" s="8"/>
      <c r="Y285" s="8"/>
      <c r="Z285" s="8"/>
    </row>
    <row r="286" spans="1:26" ht="12.75" customHeight="1" x14ac:dyDescent="0.3">
      <c r="A286" s="8"/>
      <c r="B286" s="8"/>
      <c r="C286" s="8"/>
      <c r="D286" s="8"/>
      <c r="E286" s="8"/>
      <c r="F286" s="8"/>
      <c r="G286" s="8"/>
      <c r="H286" s="8"/>
      <c r="I286" s="89"/>
      <c r="J286" s="8"/>
      <c r="K286" s="8"/>
      <c r="L286" s="8"/>
      <c r="M286" s="8"/>
      <c r="N286" s="8"/>
      <c r="O286" s="8"/>
      <c r="P286" s="8"/>
      <c r="Q286" s="8"/>
      <c r="R286" s="8"/>
      <c r="S286" s="8"/>
      <c r="T286" s="8"/>
      <c r="U286" s="8"/>
      <c r="V286" s="8"/>
      <c r="W286" s="8"/>
      <c r="X286" s="8"/>
      <c r="Y286" s="8"/>
      <c r="Z286" s="8"/>
    </row>
    <row r="287" spans="1:26" ht="12.75" customHeight="1" x14ac:dyDescent="0.3">
      <c r="A287" s="8"/>
      <c r="B287" s="8"/>
      <c r="C287" s="8"/>
      <c r="D287" s="8"/>
      <c r="E287" s="8"/>
      <c r="F287" s="8"/>
      <c r="G287" s="8"/>
      <c r="H287" s="8"/>
      <c r="I287" s="89"/>
      <c r="J287" s="8"/>
      <c r="K287" s="8"/>
      <c r="L287" s="8"/>
      <c r="M287" s="8"/>
      <c r="N287" s="8"/>
      <c r="O287" s="8"/>
      <c r="P287" s="8"/>
      <c r="Q287" s="8"/>
      <c r="R287" s="8"/>
      <c r="S287" s="8"/>
      <c r="T287" s="8"/>
      <c r="U287" s="8"/>
      <c r="V287" s="8"/>
      <c r="W287" s="8"/>
      <c r="X287" s="8"/>
      <c r="Y287" s="8"/>
      <c r="Z287" s="8"/>
    </row>
    <row r="288" spans="1:26" ht="12.75" customHeight="1" x14ac:dyDescent="0.3">
      <c r="A288" s="8"/>
      <c r="B288" s="8"/>
      <c r="C288" s="8"/>
      <c r="D288" s="8"/>
      <c r="E288" s="8"/>
      <c r="F288" s="8"/>
      <c r="G288" s="8"/>
      <c r="H288" s="8"/>
      <c r="I288" s="89"/>
      <c r="J288" s="8"/>
      <c r="K288" s="8"/>
      <c r="L288" s="8"/>
      <c r="M288" s="8"/>
      <c r="N288" s="8"/>
      <c r="O288" s="8"/>
      <c r="P288" s="8"/>
      <c r="Q288" s="8"/>
      <c r="R288" s="8"/>
      <c r="S288" s="8"/>
      <c r="T288" s="8"/>
      <c r="U288" s="8"/>
      <c r="V288" s="8"/>
      <c r="W288" s="8"/>
      <c r="X288" s="8"/>
      <c r="Y288" s="8"/>
      <c r="Z288" s="8"/>
    </row>
    <row r="289" spans="1:26" ht="12.75" customHeight="1" x14ac:dyDescent="0.3">
      <c r="A289" s="8"/>
      <c r="B289" s="8"/>
      <c r="C289" s="8"/>
      <c r="D289" s="8"/>
      <c r="E289" s="8"/>
      <c r="F289" s="8"/>
      <c r="G289" s="8"/>
      <c r="H289" s="8"/>
      <c r="I289" s="89"/>
      <c r="J289" s="8"/>
      <c r="K289" s="8"/>
      <c r="L289" s="8"/>
      <c r="M289" s="8"/>
      <c r="N289" s="8"/>
      <c r="O289" s="8"/>
      <c r="P289" s="8"/>
      <c r="Q289" s="8"/>
      <c r="R289" s="8"/>
      <c r="S289" s="8"/>
      <c r="T289" s="8"/>
      <c r="U289" s="8"/>
      <c r="V289" s="8"/>
      <c r="W289" s="8"/>
      <c r="X289" s="8"/>
      <c r="Y289" s="8"/>
      <c r="Z289" s="8"/>
    </row>
    <row r="290" spans="1:26" ht="12.75" customHeight="1" x14ac:dyDescent="0.3">
      <c r="A290" s="8"/>
      <c r="B290" s="8"/>
      <c r="C290" s="8"/>
      <c r="D290" s="8"/>
      <c r="E290" s="8"/>
      <c r="F290" s="8"/>
      <c r="G290" s="8"/>
      <c r="H290" s="8"/>
      <c r="I290" s="89"/>
      <c r="J290" s="8"/>
      <c r="K290" s="8"/>
      <c r="L290" s="8"/>
      <c r="M290" s="8"/>
      <c r="N290" s="8"/>
      <c r="O290" s="8"/>
      <c r="P290" s="8"/>
      <c r="Q290" s="8"/>
      <c r="R290" s="8"/>
      <c r="S290" s="8"/>
      <c r="T290" s="8"/>
      <c r="U290" s="8"/>
      <c r="V290" s="8"/>
      <c r="W290" s="8"/>
      <c r="X290" s="8"/>
      <c r="Y290" s="8"/>
      <c r="Z290" s="8"/>
    </row>
    <row r="291" spans="1:26" ht="12.75" customHeight="1" x14ac:dyDescent="0.3">
      <c r="A291" s="8"/>
      <c r="B291" s="8"/>
      <c r="C291" s="8"/>
      <c r="D291" s="8"/>
      <c r="E291" s="8"/>
      <c r="F291" s="8"/>
      <c r="G291" s="8"/>
      <c r="H291" s="8"/>
      <c r="I291" s="89"/>
      <c r="J291" s="8"/>
      <c r="K291" s="8"/>
      <c r="L291" s="8"/>
      <c r="M291" s="8"/>
      <c r="N291" s="8"/>
      <c r="O291" s="8"/>
      <c r="P291" s="8"/>
      <c r="Q291" s="8"/>
      <c r="R291" s="8"/>
      <c r="S291" s="8"/>
      <c r="T291" s="8"/>
      <c r="U291" s="8"/>
      <c r="V291" s="8"/>
      <c r="W291" s="8"/>
      <c r="X291" s="8"/>
      <c r="Y291" s="8"/>
      <c r="Z291" s="8"/>
    </row>
    <row r="292" spans="1:26" ht="14.25" customHeight="1" x14ac:dyDescent="0.3"/>
    <row r="293" spans="1:26" ht="14.25" customHeight="1" x14ac:dyDescent="0.3"/>
    <row r="294" spans="1:26" ht="14.25" customHeight="1" x14ac:dyDescent="0.3"/>
    <row r="295" spans="1:26" ht="14.25" customHeight="1" x14ac:dyDescent="0.3"/>
    <row r="296" spans="1:26" ht="14.25" customHeight="1" x14ac:dyDescent="0.3"/>
    <row r="297" spans="1:26" ht="14.25" customHeight="1" x14ac:dyDescent="0.3"/>
    <row r="298" spans="1:26" ht="14.25" customHeight="1" x14ac:dyDescent="0.3"/>
    <row r="299" spans="1:26" ht="14.25" customHeight="1" x14ac:dyDescent="0.3"/>
    <row r="300" spans="1:26" ht="14.25" customHeight="1" x14ac:dyDescent="0.3"/>
    <row r="301" spans="1:26" ht="14.25" customHeight="1" x14ac:dyDescent="0.3"/>
    <row r="302" spans="1:26" ht="14.25" customHeight="1" x14ac:dyDescent="0.3"/>
    <row r="303" spans="1:26" ht="14.25" customHeight="1" x14ac:dyDescent="0.3"/>
    <row r="304" spans="1:26"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B2:H2"/>
    <mergeCell ref="B3:H3"/>
    <mergeCell ref="B4:H4"/>
    <mergeCell ref="F5:H5"/>
    <mergeCell ref="F6:H6"/>
  </mergeCells>
  <dataValidations count="1">
    <dataValidation type="list" allowBlank="1" sqref="F1 F7:F143">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1" width="28" style="1" customWidth="1"/>
    <col min="2" max="2" width="34" style="1" customWidth="1"/>
    <col min="3" max="3" width="52" style="1" customWidth="1"/>
    <col min="4" max="4" width="50" style="1" customWidth="1"/>
    <col min="5" max="5" width="26" style="1" customWidth="1"/>
    <col min="6" max="6" width="9" style="1" customWidth="1"/>
    <col min="7" max="7" width="12" style="1" customWidth="1"/>
    <col min="8" max="8" width="28" style="1" customWidth="1"/>
    <col min="9" max="9" width="9.44140625" style="1" customWidth="1"/>
    <col min="10" max="10" width="8.109375" style="1" hidden="1" customWidth="1"/>
    <col min="11" max="26" width="9.109375" style="1" customWidth="1"/>
  </cols>
  <sheetData>
    <row r="1" spans="1:26" ht="13.5" customHeight="1" x14ac:dyDescent="0.3">
      <c r="A1" s="63"/>
      <c r="B1" s="64"/>
      <c r="C1" s="64"/>
      <c r="D1" s="64"/>
      <c r="E1" s="64"/>
      <c r="F1" s="36"/>
      <c r="G1" s="65"/>
      <c r="H1" s="36"/>
      <c r="I1" s="66"/>
      <c r="J1" s="67"/>
      <c r="K1" s="67"/>
      <c r="L1" s="67"/>
      <c r="M1" s="67"/>
      <c r="N1" s="67"/>
      <c r="O1" s="67"/>
      <c r="P1" s="67"/>
      <c r="Q1" s="67"/>
      <c r="R1" s="67"/>
      <c r="S1" s="67"/>
      <c r="T1" s="67"/>
      <c r="U1" s="67"/>
      <c r="V1" s="67"/>
      <c r="W1" s="67"/>
      <c r="X1" s="67"/>
      <c r="Y1" s="67"/>
      <c r="Z1" s="67"/>
    </row>
    <row r="2" spans="1:26" ht="15" customHeight="1" x14ac:dyDescent="0.3">
      <c r="A2" s="63" t="s">
        <v>319</v>
      </c>
      <c r="B2" s="123" t="s">
        <v>41</v>
      </c>
      <c r="C2" s="123"/>
      <c r="D2" s="123"/>
      <c r="E2" s="123"/>
      <c r="F2" s="123"/>
      <c r="G2" s="123"/>
      <c r="H2" s="123"/>
      <c r="I2" s="66"/>
      <c r="J2" s="67" t="s">
        <v>321</v>
      </c>
      <c r="K2" s="67"/>
      <c r="L2" s="67"/>
      <c r="M2" s="67"/>
      <c r="N2" s="67"/>
      <c r="O2" s="67"/>
      <c r="P2" s="67"/>
      <c r="Q2" s="67"/>
      <c r="R2" s="67"/>
      <c r="S2" s="67"/>
      <c r="T2" s="67"/>
      <c r="U2" s="67"/>
      <c r="V2" s="67"/>
      <c r="W2" s="67"/>
      <c r="X2" s="67"/>
      <c r="Y2" s="67"/>
      <c r="Z2" s="67"/>
    </row>
    <row r="3" spans="1:26" ht="25.5" customHeight="1" x14ac:dyDescent="0.3">
      <c r="A3" s="63" t="s">
        <v>322</v>
      </c>
      <c r="B3" s="123" t="s">
        <v>722</v>
      </c>
      <c r="C3" s="123"/>
      <c r="D3" s="123"/>
      <c r="E3" s="123"/>
      <c r="F3" s="123"/>
      <c r="G3" s="123"/>
      <c r="H3" s="123"/>
      <c r="I3" s="66"/>
      <c r="J3" s="67" t="s">
        <v>323</v>
      </c>
      <c r="K3" s="67"/>
      <c r="L3" s="67"/>
      <c r="M3" s="67"/>
      <c r="N3" s="67"/>
      <c r="O3" s="67"/>
      <c r="P3" s="67"/>
      <c r="Q3" s="67"/>
      <c r="R3" s="67"/>
      <c r="S3" s="67"/>
      <c r="T3" s="67"/>
      <c r="U3" s="67"/>
      <c r="V3" s="67"/>
      <c r="W3" s="67"/>
      <c r="X3" s="67"/>
      <c r="Y3" s="67"/>
      <c r="Z3" s="67"/>
    </row>
    <row r="4" spans="1:26" ht="18" customHeight="1" x14ac:dyDescent="0.3">
      <c r="A4" s="68" t="s">
        <v>324</v>
      </c>
      <c r="B4" s="123" t="s">
        <v>4</v>
      </c>
      <c r="C4" s="123"/>
      <c r="D4" s="123"/>
      <c r="E4" s="123"/>
      <c r="F4" s="123"/>
      <c r="G4" s="123"/>
      <c r="H4" s="123"/>
      <c r="I4" s="66"/>
      <c r="J4" s="67" t="s">
        <v>325</v>
      </c>
      <c r="K4" s="67"/>
      <c r="L4" s="67"/>
      <c r="M4" s="67"/>
      <c r="N4" s="67"/>
      <c r="O4" s="67"/>
      <c r="P4" s="67"/>
      <c r="Q4" s="67"/>
      <c r="R4" s="67"/>
      <c r="S4" s="67"/>
      <c r="T4" s="67"/>
      <c r="U4" s="67"/>
      <c r="V4" s="67"/>
      <c r="W4" s="67"/>
      <c r="X4" s="67"/>
      <c r="Y4" s="67"/>
      <c r="Z4" s="67"/>
    </row>
    <row r="5" spans="1:26" ht="19.5" customHeight="1" x14ac:dyDescent="0.3">
      <c r="A5" s="69" t="s">
        <v>321</v>
      </c>
      <c r="B5" s="70" t="s">
        <v>323</v>
      </c>
      <c r="C5" s="70" t="s">
        <v>326</v>
      </c>
      <c r="D5" s="70" t="s">
        <v>325</v>
      </c>
      <c r="E5" s="71" t="s">
        <v>327</v>
      </c>
      <c r="F5" s="124" t="s">
        <v>328</v>
      </c>
      <c r="G5" s="124"/>
      <c r="H5" s="124"/>
      <c r="I5" s="72"/>
      <c r="J5" s="67" t="s">
        <v>326</v>
      </c>
      <c r="K5" s="67"/>
      <c r="L5" s="67"/>
      <c r="M5" s="67"/>
      <c r="N5" s="67"/>
      <c r="O5" s="67"/>
      <c r="P5" s="67"/>
      <c r="Q5" s="67"/>
      <c r="R5" s="67"/>
      <c r="S5" s="67"/>
      <c r="T5" s="67"/>
      <c r="U5" s="67"/>
      <c r="V5" s="67"/>
      <c r="W5" s="67"/>
      <c r="X5" s="67"/>
      <c r="Y5" s="67"/>
      <c r="Z5" s="67"/>
    </row>
    <row r="6" spans="1:26" ht="15" customHeight="1" x14ac:dyDescent="0.3">
      <c r="A6" s="73">
        <f>COUNTIF(F9:F996,"Passed")</f>
        <v>0</v>
      </c>
      <c r="B6" s="73">
        <f>COUNTIF(F9:F996,"Failed")</f>
        <v>0</v>
      </c>
      <c r="C6" s="73">
        <f>F6-E6-D6-B6-A6</f>
        <v>42</v>
      </c>
      <c r="D6" s="73">
        <f>COUNTIF(F$9:F$996,"Blocked")</f>
        <v>0</v>
      </c>
      <c r="E6" s="74">
        <f>COUNTIF(F$9:F$996,"Skipped")</f>
        <v>0</v>
      </c>
      <c r="F6" s="125">
        <f>COUNTA(A9:A996)</f>
        <v>42</v>
      </c>
      <c r="G6" s="125"/>
      <c r="H6" s="125"/>
      <c r="I6" s="72"/>
      <c r="J6" s="67" t="s">
        <v>327</v>
      </c>
      <c r="K6" s="67"/>
      <c r="L6" s="67"/>
      <c r="M6" s="67"/>
      <c r="N6" s="67"/>
      <c r="O6" s="67"/>
      <c r="P6" s="67"/>
      <c r="Q6" s="67"/>
      <c r="R6" s="67"/>
      <c r="S6" s="67"/>
      <c r="T6" s="67"/>
      <c r="U6" s="67"/>
      <c r="V6" s="67"/>
      <c r="W6" s="67"/>
      <c r="X6" s="67"/>
      <c r="Y6" s="67"/>
      <c r="Z6" s="67"/>
    </row>
    <row r="7" spans="1:26" ht="15" customHeight="1" x14ac:dyDescent="0.3">
      <c r="A7" s="67"/>
      <c r="B7" s="67"/>
      <c r="C7" s="67"/>
      <c r="D7" s="75"/>
      <c r="E7" s="75"/>
      <c r="F7" s="76"/>
      <c r="G7" s="76"/>
      <c r="H7" s="76"/>
      <c r="I7" s="72"/>
      <c r="J7" s="67"/>
      <c r="K7" s="67"/>
      <c r="L7" s="67"/>
      <c r="M7" s="67"/>
      <c r="N7" s="67"/>
      <c r="O7" s="67"/>
      <c r="P7" s="67"/>
      <c r="Q7" s="67"/>
      <c r="R7" s="67"/>
      <c r="S7" s="67"/>
      <c r="T7" s="67"/>
      <c r="U7" s="67"/>
      <c r="V7" s="67"/>
      <c r="W7" s="67"/>
      <c r="X7" s="67"/>
      <c r="Y7" s="67"/>
      <c r="Z7" s="67"/>
    </row>
    <row r="8" spans="1:26" ht="25.5" customHeight="1" x14ac:dyDescent="0.3">
      <c r="A8" s="77" t="s">
        <v>329</v>
      </c>
      <c r="B8" s="78" t="s">
        <v>330</v>
      </c>
      <c r="C8" s="78" t="s">
        <v>331</v>
      </c>
      <c r="D8" s="78" t="s">
        <v>332</v>
      </c>
      <c r="E8" s="79" t="s">
        <v>333</v>
      </c>
      <c r="F8" s="79" t="s">
        <v>334</v>
      </c>
      <c r="G8" s="79" t="s">
        <v>335</v>
      </c>
      <c r="H8" s="80" t="s">
        <v>53</v>
      </c>
      <c r="I8" s="81"/>
      <c r="J8" s="67"/>
      <c r="K8" s="67"/>
      <c r="L8" s="67"/>
      <c r="M8" s="67"/>
      <c r="N8" s="67"/>
      <c r="O8" s="67"/>
      <c r="P8" s="67"/>
      <c r="Q8" s="67"/>
      <c r="R8" s="67"/>
      <c r="S8" s="67"/>
      <c r="T8" s="67"/>
      <c r="U8" s="67"/>
      <c r="V8" s="67"/>
      <c r="W8" s="67"/>
      <c r="X8" s="67"/>
      <c r="Y8" s="67"/>
      <c r="Z8" s="67"/>
    </row>
    <row r="9" spans="1:26" ht="109.5" customHeight="1" x14ac:dyDescent="0.3">
      <c r="A9" s="82" t="s">
        <v>723</v>
      </c>
      <c r="B9" s="83" t="s">
        <v>231</v>
      </c>
      <c r="C9" s="83" t="s">
        <v>724</v>
      </c>
      <c r="D9" s="83" t="s">
        <v>725</v>
      </c>
      <c r="E9" s="83"/>
      <c r="F9" s="84"/>
      <c r="G9" s="85"/>
      <c r="H9" s="86"/>
      <c r="I9" s="87"/>
      <c r="J9" s="8"/>
      <c r="K9" s="8"/>
      <c r="L9" s="8"/>
      <c r="M9" s="8"/>
      <c r="N9" s="8"/>
      <c r="O9" s="8"/>
      <c r="P9" s="8"/>
      <c r="Q9" s="8"/>
      <c r="R9" s="8"/>
      <c r="S9" s="8"/>
      <c r="T9" s="8"/>
      <c r="U9" s="8"/>
      <c r="V9" s="8"/>
      <c r="W9" s="8"/>
      <c r="X9" s="8"/>
      <c r="Y9" s="8"/>
      <c r="Z9" s="8"/>
    </row>
    <row r="10" spans="1:26" ht="109.5" customHeight="1" x14ac:dyDescent="0.3">
      <c r="A10" s="82" t="s">
        <v>726</v>
      </c>
      <c r="B10" s="83" t="s">
        <v>232</v>
      </c>
      <c r="C10" s="83" t="s">
        <v>727</v>
      </c>
      <c r="D10" s="83" t="s">
        <v>728</v>
      </c>
      <c r="E10" s="83"/>
      <c r="F10" s="84"/>
      <c r="G10" s="85"/>
      <c r="H10" s="86"/>
      <c r="I10" s="87"/>
      <c r="J10" s="8"/>
      <c r="K10" s="8"/>
      <c r="L10" s="8"/>
      <c r="M10" s="8"/>
      <c r="N10" s="8"/>
      <c r="O10" s="8"/>
      <c r="P10" s="8"/>
      <c r="Q10" s="8"/>
      <c r="R10" s="8"/>
      <c r="S10" s="8"/>
      <c r="T10" s="8"/>
      <c r="U10" s="8"/>
      <c r="V10" s="8"/>
      <c r="W10" s="8"/>
      <c r="X10" s="8"/>
      <c r="Y10" s="8"/>
      <c r="Z10" s="8"/>
    </row>
    <row r="11" spans="1:26" ht="109.5" customHeight="1" x14ac:dyDescent="0.3">
      <c r="A11" s="82" t="s">
        <v>729</v>
      </c>
      <c r="B11" s="83" t="s">
        <v>233</v>
      </c>
      <c r="C11" s="83" t="s">
        <v>730</v>
      </c>
      <c r="D11" s="83" t="s">
        <v>731</v>
      </c>
      <c r="E11" s="83"/>
      <c r="F11" s="84"/>
      <c r="G11" s="85"/>
      <c r="H11" s="86"/>
      <c r="I11" s="88"/>
      <c r="J11" s="67"/>
      <c r="K11" s="67"/>
      <c r="L11" s="67"/>
      <c r="M11" s="67"/>
      <c r="N11" s="67"/>
      <c r="O11" s="67"/>
      <c r="P11" s="67"/>
      <c r="Q11" s="67"/>
      <c r="R11" s="67"/>
      <c r="S11" s="67"/>
      <c r="T11" s="67"/>
      <c r="U11" s="67"/>
      <c r="V11" s="67"/>
      <c r="W11" s="67"/>
      <c r="X11" s="67"/>
      <c r="Y11" s="67"/>
      <c r="Z11" s="67"/>
    </row>
    <row r="12" spans="1:26" ht="135" customHeight="1" x14ac:dyDescent="0.3">
      <c r="A12" s="82" t="s">
        <v>732</v>
      </c>
      <c r="B12" s="83" t="s">
        <v>234</v>
      </c>
      <c r="C12" s="83" t="s">
        <v>733</v>
      </c>
      <c r="D12" s="83" t="s">
        <v>734</v>
      </c>
      <c r="E12" s="83"/>
      <c r="F12" s="84"/>
      <c r="G12" s="85"/>
      <c r="H12" s="86" t="s">
        <v>235</v>
      </c>
      <c r="I12" s="87"/>
      <c r="J12" s="8"/>
      <c r="K12" s="8"/>
      <c r="L12" s="8"/>
      <c r="M12" s="8"/>
      <c r="N12" s="8"/>
      <c r="O12" s="8"/>
      <c r="P12" s="8"/>
      <c r="Q12" s="8"/>
      <c r="R12" s="8"/>
      <c r="S12" s="8"/>
      <c r="T12" s="8"/>
      <c r="U12" s="8"/>
      <c r="V12" s="8"/>
      <c r="W12" s="8"/>
      <c r="X12" s="8"/>
      <c r="Y12" s="8"/>
      <c r="Z12" s="8"/>
    </row>
    <row r="13" spans="1:26" ht="135" customHeight="1" x14ac:dyDescent="0.3">
      <c r="A13" s="82" t="s">
        <v>735</v>
      </c>
      <c r="B13" s="83" t="s">
        <v>166</v>
      </c>
      <c r="C13" s="83" t="s">
        <v>736</v>
      </c>
      <c r="D13" s="83" t="s">
        <v>737</v>
      </c>
      <c r="E13" s="83"/>
      <c r="F13" s="84"/>
      <c r="G13" s="85"/>
      <c r="H13" s="86"/>
      <c r="I13" s="89"/>
      <c r="J13" s="8"/>
      <c r="K13" s="8"/>
      <c r="L13" s="8"/>
      <c r="M13" s="8"/>
      <c r="N13" s="8"/>
      <c r="O13" s="8"/>
      <c r="P13" s="8"/>
      <c r="Q13" s="8"/>
      <c r="R13" s="8"/>
      <c r="S13" s="8"/>
      <c r="T13" s="8"/>
      <c r="U13" s="8"/>
      <c r="V13" s="8"/>
      <c r="W13" s="8"/>
      <c r="X13" s="8"/>
      <c r="Y13" s="8"/>
      <c r="Z13" s="8"/>
    </row>
    <row r="14" spans="1:26" ht="122.25" customHeight="1" x14ac:dyDescent="0.3">
      <c r="A14" s="82" t="s">
        <v>738</v>
      </c>
      <c r="B14" s="83" t="s">
        <v>167</v>
      </c>
      <c r="C14" s="83" t="s">
        <v>739</v>
      </c>
      <c r="D14" s="83" t="s">
        <v>740</v>
      </c>
      <c r="E14" s="83"/>
      <c r="F14" s="84"/>
      <c r="G14" s="85"/>
      <c r="H14" s="86"/>
      <c r="I14" s="88"/>
      <c r="J14" s="67"/>
      <c r="K14" s="67"/>
      <c r="L14" s="67"/>
      <c r="M14" s="67"/>
      <c r="N14" s="67"/>
      <c r="O14" s="67"/>
      <c r="P14" s="67"/>
      <c r="Q14" s="67"/>
      <c r="R14" s="67"/>
      <c r="S14" s="67"/>
      <c r="T14" s="67"/>
      <c r="U14" s="67"/>
      <c r="V14" s="67"/>
      <c r="W14" s="67"/>
      <c r="X14" s="67"/>
      <c r="Y14" s="67"/>
      <c r="Z14" s="67"/>
    </row>
    <row r="15" spans="1:26" ht="122.25" customHeight="1" x14ac:dyDescent="0.3">
      <c r="A15" s="82" t="s">
        <v>741</v>
      </c>
      <c r="B15" s="83" t="s">
        <v>168</v>
      </c>
      <c r="C15" s="83" t="s">
        <v>742</v>
      </c>
      <c r="D15" s="83" t="s">
        <v>743</v>
      </c>
      <c r="E15" s="83"/>
      <c r="F15" s="84"/>
      <c r="G15" s="85"/>
      <c r="H15" s="86"/>
      <c r="I15" s="87"/>
      <c r="J15" s="8"/>
      <c r="K15" s="8"/>
      <c r="L15" s="8"/>
      <c r="M15" s="8"/>
      <c r="N15" s="8"/>
      <c r="O15" s="8"/>
      <c r="P15" s="8"/>
      <c r="Q15" s="8"/>
      <c r="R15" s="8"/>
      <c r="S15" s="8"/>
      <c r="T15" s="8"/>
      <c r="U15" s="8"/>
      <c r="V15" s="8"/>
      <c r="W15" s="8"/>
      <c r="X15" s="8"/>
      <c r="Y15" s="8"/>
      <c r="Z15" s="8"/>
    </row>
    <row r="16" spans="1:26" ht="109.5" customHeight="1" x14ac:dyDescent="0.3">
      <c r="A16" s="82" t="s">
        <v>744</v>
      </c>
      <c r="B16" s="83" t="s">
        <v>170</v>
      </c>
      <c r="C16" s="83" t="s">
        <v>745</v>
      </c>
      <c r="D16" s="83" t="s">
        <v>746</v>
      </c>
      <c r="E16" s="83"/>
      <c r="F16" s="84"/>
      <c r="G16" s="85"/>
      <c r="H16" s="86"/>
      <c r="I16" s="89"/>
      <c r="J16" s="8"/>
      <c r="K16" s="8"/>
      <c r="L16" s="8"/>
      <c r="M16" s="8"/>
      <c r="N16" s="8"/>
      <c r="O16" s="8"/>
      <c r="P16" s="8"/>
      <c r="Q16" s="8"/>
      <c r="R16" s="8"/>
      <c r="S16" s="8"/>
      <c r="T16" s="8"/>
      <c r="U16" s="8"/>
      <c r="V16" s="8"/>
      <c r="W16" s="8"/>
      <c r="X16" s="8"/>
      <c r="Y16" s="8"/>
      <c r="Z16" s="8"/>
    </row>
    <row r="17" spans="1:26" ht="122.25" customHeight="1" x14ac:dyDescent="0.3">
      <c r="A17" s="82" t="s">
        <v>747</v>
      </c>
      <c r="B17" s="83" t="s">
        <v>171</v>
      </c>
      <c r="C17" s="83" t="s">
        <v>748</v>
      </c>
      <c r="D17" s="83" t="s">
        <v>749</v>
      </c>
      <c r="E17" s="83"/>
      <c r="F17" s="84"/>
      <c r="G17" s="85"/>
      <c r="H17" s="86" t="s">
        <v>172</v>
      </c>
      <c r="I17" s="89"/>
      <c r="J17" s="8"/>
      <c r="K17" s="8"/>
      <c r="L17" s="8"/>
      <c r="M17" s="8"/>
      <c r="N17" s="8"/>
      <c r="O17" s="8"/>
      <c r="P17" s="8"/>
      <c r="Q17" s="8"/>
      <c r="R17" s="8"/>
      <c r="S17" s="8"/>
      <c r="T17" s="8"/>
      <c r="U17" s="8"/>
      <c r="V17" s="8"/>
      <c r="W17" s="8"/>
      <c r="X17" s="8"/>
      <c r="Y17" s="8"/>
      <c r="Z17" s="8"/>
    </row>
    <row r="18" spans="1:26" ht="122.25" customHeight="1" x14ac:dyDescent="0.3">
      <c r="A18" s="82" t="s">
        <v>750</v>
      </c>
      <c r="B18" s="83" t="s">
        <v>174</v>
      </c>
      <c r="C18" s="83" t="s">
        <v>751</v>
      </c>
      <c r="D18" s="83" t="s">
        <v>611</v>
      </c>
      <c r="E18" s="83"/>
      <c r="F18" s="84"/>
      <c r="G18" s="85"/>
      <c r="H18" s="86"/>
      <c r="I18" s="89"/>
      <c r="J18" s="8"/>
      <c r="K18" s="8"/>
      <c r="L18" s="8"/>
      <c r="M18" s="8"/>
      <c r="N18" s="8"/>
      <c r="O18" s="8"/>
      <c r="P18" s="8"/>
      <c r="Q18" s="8"/>
      <c r="R18" s="8"/>
      <c r="S18" s="8"/>
      <c r="T18" s="8"/>
      <c r="U18" s="8"/>
      <c r="V18" s="8"/>
      <c r="W18" s="8"/>
      <c r="X18" s="8"/>
      <c r="Y18" s="8"/>
      <c r="Z18" s="8"/>
    </row>
    <row r="19" spans="1:26" ht="122.25" customHeight="1" x14ac:dyDescent="0.3">
      <c r="A19" s="82" t="s">
        <v>752</v>
      </c>
      <c r="B19" s="83" t="s">
        <v>236</v>
      </c>
      <c r="C19" s="83" t="s">
        <v>753</v>
      </c>
      <c r="D19" s="83" t="s">
        <v>754</v>
      </c>
      <c r="E19" s="83"/>
      <c r="F19" s="84"/>
      <c r="G19" s="85"/>
      <c r="H19" s="86" t="s">
        <v>172</v>
      </c>
      <c r="I19" s="89"/>
      <c r="J19" s="8"/>
      <c r="K19" s="8"/>
      <c r="L19" s="8"/>
      <c r="M19" s="8"/>
      <c r="N19" s="8"/>
      <c r="O19" s="8"/>
      <c r="P19" s="8"/>
      <c r="Q19" s="8"/>
      <c r="R19" s="8"/>
      <c r="S19" s="8"/>
      <c r="T19" s="8"/>
      <c r="U19" s="8"/>
      <c r="V19" s="8"/>
      <c r="W19" s="8"/>
      <c r="X19" s="8"/>
      <c r="Y19" s="8"/>
      <c r="Z19" s="8"/>
    </row>
    <row r="20" spans="1:26" ht="122.25" customHeight="1" x14ac:dyDescent="0.3">
      <c r="A20" s="82" t="s">
        <v>755</v>
      </c>
      <c r="B20" s="83" t="s">
        <v>237</v>
      </c>
      <c r="C20" s="83" t="s">
        <v>756</v>
      </c>
      <c r="D20" s="83" t="s">
        <v>754</v>
      </c>
      <c r="E20" s="83"/>
      <c r="F20" s="84"/>
      <c r="G20" s="85"/>
      <c r="H20" s="86" t="s">
        <v>172</v>
      </c>
      <c r="I20" s="89"/>
      <c r="J20" s="8"/>
      <c r="K20" s="8"/>
      <c r="L20" s="8"/>
      <c r="M20" s="8"/>
      <c r="N20" s="8"/>
      <c r="O20" s="8"/>
      <c r="P20" s="8"/>
      <c r="Q20" s="8"/>
      <c r="R20" s="8"/>
      <c r="S20" s="8"/>
      <c r="T20" s="8"/>
      <c r="U20" s="8"/>
      <c r="V20" s="8"/>
      <c r="W20" s="8"/>
      <c r="X20" s="8"/>
      <c r="Y20" s="8"/>
      <c r="Z20" s="8"/>
    </row>
    <row r="21" spans="1:26" ht="122.25" customHeight="1" x14ac:dyDescent="0.3">
      <c r="A21" s="82" t="s">
        <v>757</v>
      </c>
      <c r="B21" s="83" t="s">
        <v>238</v>
      </c>
      <c r="C21" s="83" t="s">
        <v>758</v>
      </c>
      <c r="D21" s="83" t="s">
        <v>759</v>
      </c>
      <c r="E21" s="83"/>
      <c r="F21" s="84"/>
      <c r="G21" s="85"/>
      <c r="H21" s="86" t="s">
        <v>178</v>
      </c>
      <c r="I21" s="89"/>
      <c r="J21" s="8"/>
      <c r="K21" s="8"/>
      <c r="L21" s="8"/>
      <c r="M21" s="8"/>
      <c r="N21" s="8"/>
      <c r="O21" s="8"/>
      <c r="P21" s="8"/>
      <c r="Q21" s="8"/>
      <c r="R21" s="8"/>
      <c r="S21" s="8"/>
      <c r="T21" s="8"/>
      <c r="U21" s="8"/>
      <c r="V21" s="8"/>
      <c r="W21" s="8"/>
      <c r="X21" s="8"/>
      <c r="Y21" s="8"/>
      <c r="Z21" s="8"/>
    </row>
    <row r="22" spans="1:26" ht="122.25" customHeight="1" x14ac:dyDescent="0.3">
      <c r="A22" s="82" t="s">
        <v>760</v>
      </c>
      <c r="B22" s="83" t="s">
        <v>239</v>
      </c>
      <c r="C22" s="83" t="s">
        <v>761</v>
      </c>
      <c r="D22" s="83" t="s">
        <v>762</v>
      </c>
      <c r="E22" s="83"/>
      <c r="F22" s="84"/>
      <c r="G22" s="85"/>
      <c r="H22" s="86" t="s">
        <v>240</v>
      </c>
      <c r="I22" s="89"/>
      <c r="J22" s="8"/>
      <c r="K22" s="8"/>
      <c r="L22" s="8"/>
      <c r="M22" s="8"/>
      <c r="N22" s="8"/>
      <c r="O22" s="8"/>
      <c r="P22" s="8"/>
      <c r="Q22" s="8"/>
      <c r="R22" s="8"/>
      <c r="S22" s="8"/>
      <c r="T22" s="8"/>
      <c r="U22" s="8"/>
      <c r="V22" s="8"/>
      <c r="W22" s="8"/>
      <c r="X22" s="8"/>
      <c r="Y22" s="8"/>
      <c r="Z22" s="8"/>
    </row>
    <row r="23" spans="1:26" ht="122.25" customHeight="1" x14ac:dyDescent="0.3">
      <c r="A23" s="82" t="s">
        <v>763</v>
      </c>
      <c r="B23" s="83" t="s">
        <v>241</v>
      </c>
      <c r="C23" s="83" t="s">
        <v>764</v>
      </c>
      <c r="D23" s="83" t="s">
        <v>765</v>
      </c>
      <c r="E23" s="83"/>
      <c r="F23" s="84"/>
      <c r="G23" s="85"/>
      <c r="H23" s="86" t="s">
        <v>172</v>
      </c>
      <c r="I23" s="89"/>
      <c r="J23" s="8"/>
      <c r="K23" s="8"/>
      <c r="L23" s="8"/>
      <c r="M23" s="8"/>
      <c r="N23" s="8"/>
      <c r="O23" s="8"/>
      <c r="P23" s="8"/>
      <c r="Q23" s="8"/>
      <c r="R23" s="8"/>
      <c r="S23" s="8"/>
      <c r="T23" s="8"/>
      <c r="U23" s="8"/>
      <c r="V23" s="8"/>
      <c r="W23" s="8"/>
      <c r="X23" s="8"/>
      <c r="Y23" s="8"/>
      <c r="Z23" s="8"/>
    </row>
    <row r="24" spans="1:26" ht="122.25" customHeight="1" x14ac:dyDescent="0.3">
      <c r="A24" s="82" t="s">
        <v>766</v>
      </c>
      <c r="B24" s="83" t="s">
        <v>242</v>
      </c>
      <c r="C24" s="83" t="s">
        <v>767</v>
      </c>
      <c r="D24" s="83" t="s">
        <v>652</v>
      </c>
      <c r="E24" s="83"/>
      <c r="F24" s="84"/>
      <c r="G24" s="85"/>
      <c r="H24" s="86" t="s">
        <v>172</v>
      </c>
      <c r="I24" s="89"/>
      <c r="J24" s="8"/>
      <c r="K24" s="8"/>
      <c r="L24" s="8"/>
      <c r="M24" s="8"/>
      <c r="N24" s="8"/>
      <c r="O24" s="8"/>
      <c r="P24" s="8"/>
      <c r="Q24" s="8"/>
      <c r="R24" s="8"/>
      <c r="S24" s="8"/>
      <c r="T24" s="8"/>
      <c r="U24" s="8"/>
      <c r="V24" s="8"/>
      <c r="W24" s="8"/>
      <c r="X24" s="8"/>
      <c r="Y24" s="8"/>
      <c r="Z24" s="8"/>
    </row>
    <row r="25" spans="1:26" ht="122.25" customHeight="1" x14ac:dyDescent="0.3">
      <c r="A25" s="82" t="s">
        <v>768</v>
      </c>
      <c r="B25" s="83" t="s">
        <v>243</v>
      </c>
      <c r="C25" s="83" t="s">
        <v>769</v>
      </c>
      <c r="D25" s="83" t="s">
        <v>620</v>
      </c>
      <c r="E25" s="83"/>
      <c r="F25" s="84"/>
      <c r="G25" s="85"/>
      <c r="H25" s="86" t="s">
        <v>180</v>
      </c>
      <c r="I25" s="89"/>
      <c r="J25" s="8"/>
      <c r="K25" s="8"/>
      <c r="L25" s="8"/>
      <c r="M25" s="8"/>
      <c r="N25" s="8"/>
      <c r="O25" s="8"/>
      <c r="P25" s="8"/>
      <c r="Q25" s="8"/>
      <c r="R25" s="8"/>
      <c r="S25" s="8"/>
      <c r="T25" s="8"/>
      <c r="U25" s="8"/>
      <c r="V25" s="8"/>
      <c r="W25" s="8"/>
      <c r="X25" s="8"/>
      <c r="Y25" s="8"/>
      <c r="Z25" s="8"/>
    </row>
    <row r="26" spans="1:26" ht="173.25" customHeight="1" x14ac:dyDescent="0.3">
      <c r="A26" s="82" t="s">
        <v>770</v>
      </c>
      <c r="B26" s="83" t="s">
        <v>244</v>
      </c>
      <c r="C26" s="83" t="s">
        <v>771</v>
      </c>
      <c r="D26" s="83" t="s">
        <v>772</v>
      </c>
      <c r="E26" s="83"/>
      <c r="F26" s="84"/>
      <c r="G26" s="85"/>
      <c r="H26" s="86" t="s">
        <v>245</v>
      </c>
      <c r="I26" s="89"/>
      <c r="J26" s="8"/>
      <c r="K26" s="8"/>
      <c r="L26" s="8"/>
      <c r="M26" s="8"/>
      <c r="N26" s="8"/>
      <c r="O26" s="8"/>
      <c r="P26" s="8"/>
      <c r="Q26" s="8"/>
      <c r="R26" s="8"/>
      <c r="S26" s="8"/>
      <c r="T26" s="8"/>
      <c r="U26" s="8"/>
      <c r="V26" s="8"/>
      <c r="W26" s="8"/>
      <c r="X26" s="8"/>
      <c r="Y26" s="8"/>
      <c r="Z26" s="8"/>
    </row>
    <row r="27" spans="1:26" ht="122.25" customHeight="1" x14ac:dyDescent="0.3">
      <c r="A27" s="82" t="s">
        <v>773</v>
      </c>
      <c r="B27" s="83" t="s">
        <v>246</v>
      </c>
      <c r="C27" s="83" t="s">
        <v>774</v>
      </c>
      <c r="D27" s="83" t="s">
        <v>620</v>
      </c>
      <c r="E27" s="83"/>
      <c r="F27" s="84"/>
      <c r="G27" s="85"/>
      <c r="H27" s="86"/>
      <c r="I27" s="89"/>
      <c r="J27" s="8"/>
      <c r="K27" s="8"/>
      <c r="L27" s="8"/>
      <c r="M27" s="8"/>
      <c r="N27" s="8"/>
      <c r="O27" s="8"/>
      <c r="P27" s="8"/>
      <c r="Q27" s="8"/>
      <c r="R27" s="8"/>
      <c r="S27" s="8"/>
      <c r="T27" s="8"/>
      <c r="U27" s="8"/>
      <c r="V27" s="8"/>
      <c r="W27" s="8"/>
      <c r="X27" s="8"/>
      <c r="Y27" s="8"/>
      <c r="Z27" s="8"/>
    </row>
    <row r="28" spans="1:26" ht="122.25" customHeight="1" x14ac:dyDescent="0.3">
      <c r="A28" s="82" t="s">
        <v>775</v>
      </c>
      <c r="B28" s="83" t="s">
        <v>247</v>
      </c>
      <c r="C28" s="83" t="s">
        <v>776</v>
      </c>
      <c r="D28" s="83" t="s">
        <v>777</v>
      </c>
      <c r="E28" s="83"/>
      <c r="F28" s="84"/>
      <c r="G28" s="85"/>
      <c r="H28" s="86" t="s">
        <v>248</v>
      </c>
      <c r="I28" s="89"/>
      <c r="J28" s="8"/>
      <c r="K28" s="8"/>
      <c r="L28" s="8"/>
      <c r="M28" s="8"/>
      <c r="N28" s="8"/>
      <c r="O28" s="8"/>
      <c r="P28" s="8"/>
      <c r="Q28" s="8"/>
      <c r="R28" s="8"/>
      <c r="S28" s="8"/>
      <c r="T28" s="8"/>
      <c r="U28" s="8"/>
      <c r="V28" s="8"/>
      <c r="W28" s="8"/>
      <c r="X28" s="8"/>
      <c r="Y28" s="8"/>
      <c r="Z28" s="8"/>
    </row>
    <row r="29" spans="1:26" ht="122.25" customHeight="1" x14ac:dyDescent="0.3">
      <c r="A29" s="82" t="s">
        <v>778</v>
      </c>
      <c r="B29" s="83" t="s">
        <v>249</v>
      </c>
      <c r="C29" s="83" t="s">
        <v>779</v>
      </c>
      <c r="D29" s="83" t="s">
        <v>780</v>
      </c>
      <c r="E29" s="83"/>
      <c r="F29" s="84"/>
      <c r="G29" s="85"/>
      <c r="H29" s="86" t="s">
        <v>172</v>
      </c>
      <c r="I29" s="89"/>
      <c r="J29" s="8"/>
      <c r="K29" s="8"/>
      <c r="L29" s="8"/>
      <c r="M29" s="8"/>
      <c r="N29" s="8"/>
      <c r="O29" s="8"/>
      <c r="P29" s="8"/>
      <c r="Q29" s="8"/>
      <c r="R29" s="8"/>
      <c r="S29" s="8"/>
      <c r="T29" s="8"/>
      <c r="U29" s="8"/>
      <c r="V29" s="8"/>
      <c r="W29" s="8"/>
      <c r="X29" s="8"/>
      <c r="Y29" s="8"/>
      <c r="Z29" s="8"/>
    </row>
    <row r="30" spans="1:26" ht="122.25" customHeight="1" x14ac:dyDescent="0.3">
      <c r="A30" s="82" t="s">
        <v>781</v>
      </c>
      <c r="B30" s="83" t="s">
        <v>200</v>
      </c>
      <c r="C30" s="83" t="s">
        <v>782</v>
      </c>
      <c r="D30" s="83" t="s">
        <v>783</v>
      </c>
      <c r="E30" s="83"/>
      <c r="F30" s="84"/>
      <c r="G30" s="85"/>
      <c r="H30" s="86" t="s">
        <v>172</v>
      </c>
      <c r="I30" s="89"/>
      <c r="J30" s="8"/>
      <c r="K30" s="8"/>
      <c r="L30" s="8"/>
      <c r="M30" s="8"/>
      <c r="N30" s="8"/>
      <c r="O30" s="8"/>
      <c r="P30" s="8"/>
      <c r="Q30" s="8"/>
      <c r="R30" s="8"/>
      <c r="S30" s="8"/>
      <c r="T30" s="8"/>
      <c r="U30" s="8"/>
      <c r="V30" s="8"/>
      <c r="W30" s="8"/>
      <c r="X30" s="8"/>
      <c r="Y30" s="8"/>
      <c r="Z30" s="8"/>
    </row>
    <row r="31" spans="1:26" ht="122.25" customHeight="1" x14ac:dyDescent="0.3">
      <c r="A31" s="82" t="s">
        <v>784</v>
      </c>
      <c r="B31" s="83" t="s">
        <v>201</v>
      </c>
      <c r="C31" s="83" t="s">
        <v>785</v>
      </c>
      <c r="D31" s="83" t="s">
        <v>667</v>
      </c>
      <c r="E31" s="83"/>
      <c r="F31" s="84"/>
      <c r="G31" s="85"/>
      <c r="H31" s="86" t="s">
        <v>250</v>
      </c>
      <c r="I31" s="89"/>
      <c r="J31" s="8"/>
      <c r="K31" s="8"/>
      <c r="L31" s="8"/>
      <c r="M31" s="8"/>
      <c r="N31" s="8"/>
      <c r="O31" s="8"/>
      <c r="P31" s="8"/>
      <c r="Q31" s="8"/>
      <c r="R31" s="8"/>
      <c r="S31" s="8"/>
      <c r="T31" s="8"/>
      <c r="U31" s="8"/>
      <c r="V31" s="8"/>
      <c r="W31" s="8"/>
      <c r="X31" s="8"/>
      <c r="Y31" s="8"/>
      <c r="Z31" s="8"/>
    </row>
    <row r="32" spans="1:26" ht="135" customHeight="1" x14ac:dyDescent="0.3">
      <c r="A32" s="82" t="s">
        <v>786</v>
      </c>
      <c r="B32" s="83" t="s">
        <v>251</v>
      </c>
      <c r="C32" s="83" t="s">
        <v>787</v>
      </c>
      <c r="D32" s="83" t="s">
        <v>788</v>
      </c>
      <c r="E32" s="83"/>
      <c r="F32" s="84"/>
      <c r="G32" s="85"/>
      <c r="H32" s="86" t="s">
        <v>142</v>
      </c>
      <c r="I32" s="89"/>
      <c r="J32" s="8"/>
      <c r="K32" s="8"/>
      <c r="L32" s="8"/>
      <c r="M32" s="8"/>
      <c r="N32" s="8"/>
      <c r="O32" s="8"/>
      <c r="P32" s="8"/>
      <c r="Q32" s="8"/>
      <c r="R32" s="8"/>
      <c r="S32" s="8"/>
      <c r="T32" s="8"/>
      <c r="U32" s="8"/>
      <c r="V32" s="8"/>
      <c r="W32" s="8"/>
      <c r="X32" s="8"/>
      <c r="Y32" s="8"/>
      <c r="Z32" s="8"/>
    </row>
    <row r="33" spans="1:26" ht="135" customHeight="1" x14ac:dyDescent="0.3">
      <c r="A33" s="82" t="s">
        <v>789</v>
      </c>
      <c r="B33" s="83" t="s">
        <v>252</v>
      </c>
      <c r="C33" s="83" t="s">
        <v>790</v>
      </c>
      <c r="D33" s="83" t="s">
        <v>791</v>
      </c>
      <c r="E33" s="83"/>
      <c r="F33" s="84"/>
      <c r="G33" s="85"/>
      <c r="H33" s="86" t="s">
        <v>172</v>
      </c>
      <c r="I33" s="89"/>
      <c r="J33" s="8"/>
      <c r="K33" s="8"/>
      <c r="L33" s="8"/>
      <c r="M33" s="8"/>
      <c r="N33" s="8"/>
      <c r="O33" s="8"/>
      <c r="P33" s="8"/>
      <c r="Q33" s="8"/>
      <c r="R33" s="8"/>
      <c r="S33" s="8"/>
      <c r="T33" s="8"/>
      <c r="U33" s="8"/>
      <c r="V33" s="8"/>
      <c r="W33" s="8"/>
      <c r="X33" s="8"/>
      <c r="Y33" s="8"/>
      <c r="Z33" s="8"/>
    </row>
    <row r="34" spans="1:26" ht="135" customHeight="1" x14ac:dyDescent="0.3">
      <c r="A34" s="82" t="s">
        <v>792</v>
      </c>
      <c r="B34" s="83" t="s">
        <v>206</v>
      </c>
      <c r="C34" s="83" t="s">
        <v>793</v>
      </c>
      <c r="D34" s="83" t="s">
        <v>794</v>
      </c>
      <c r="E34" s="83"/>
      <c r="F34" s="84"/>
      <c r="G34" s="85"/>
      <c r="H34" s="86" t="s">
        <v>172</v>
      </c>
      <c r="I34" s="89"/>
      <c r="J34" s="8"/>
      <c r="K34" s="8"/>
      <c r="L34" s="8"/>
      <c r="M34" s="8"/>
      <c r="N34" s="8"/>
      <c r="O34" s="8"/>
      <c r="P34" s="8"/>
      <c r="Q34" s="8"/>
      <c r="R34" s="8"/>
      <c r="S34" s="8"/>
      <c r="T34" s="8"/>
      <c r="U34" s="8"/>
      <c r="V34" s="8"/>
      <c r="W34" s="8"/>
      <c r="X34" s="8"/>
      <c r="Y34" s="8"/>
      <c r="Z34" s="8"/>
    </row>
    <row r="35" spans="1:26" ht="122.25" customHeight="1" x14ac:dyDescent="0.3">
      <c r="A35" s="82" t="s">
        <v>795</v>
      </c>
      <c r="B35" s="83" t="s">
        <v>208</v>
      </c>
      <c r="C35" s="83" t="s">
        <v>796</v>
      </c>
      <c r="D35" s="83" t="s">
        <v>679</v>
      </c>
      <c r="E35" s="83"/>
      <c r="F35" s="84"/>
      <c r="G35" s="85"/>
      <c r="H35" s="86" t="s">
        <v>209</v>
      </c>
      <c r="I35" s="89"/>
      <c r="J35" s="8"/>
      <c r="K35" s="8"/>
      <c r="L35" s="8"/>
      <c r="M35" s="8"/>
      <c r="N35" s="8"/>
      <c r="O35" s="8"/>
      <c r="P35" s="8"/>
      <c r="Q35" s="8"/>
      <c r="R35" s="8"/>
      <c r="S35" s="8"/>
      <c r="T35" s="8"/>
      <c r="U35" s="8"/>
      <c r="V35" s="8"/>
      <c r="W35" s="8"/>
      <c r="X35" s="8"/>
      <c r="Y35" s="8"/>
      <c r="Z35" s="8"/>
    </row>
    <row r="36" spans="1:26" ht="122.25" customHeight="1" x14ac:dyDescent="0.3">
      <c r="A36" s="82" t="s">
        <v>797</v>
      </c>
      <c r="B36" s="83" t="s">
        <v>210</v>
      </c>
      <c r="C36" s="83" t="s">
        <v>798</v>
      </c>
      <c r="D36" s="83" t="s">
        <v>799</v>
      </c>
      <c r="E36" s="83"/>
      <c r="F36" s="84"/>
      <c r="G36" s="85"/>
      <c r="H36" s="86" t="s">
        <v>172</v>
      </c>
      <c r="I36" s="89"/>
      <c r="J36" s="8"/>
      <c r="K36" s="8"/>
      <c r="L36" s="8"/>
      <c r="M36" s="8"/>
      <c r="N36" s="8"/>
      <c r="O36" s="8"/>
      <c r="P36" s="8"/>
      <c r="Q36" s="8"/>
      <c r="R36" s="8"/>
      <c r="S36" s="8"/>
      <c r="T36" s="8"/>
      <c r="U36" s="8"/>
      <c r="V36" s="8"/>
      <c r="W36" s="8"/>
      <c r="X36" s="8"/>
      <c r="Y36" s="8"/>
      <c r="Z36" s="8"/>
    </row>
    <row r="37" spans="1:26" ht="122.25" customHeight="1" x14ac:dyDescent="0.3">
      <c r="A37" s="82" t="s">
        <v>800</v>
      </c>
      <c r="B37" s="83" t="s">
        <v>211</v>
      </c>
      <c r="C37" s="83" t="s">
        <v>801</v>
      </c>
      <c r="D37" s="83" t="s">
        <v>685</v>
      </c>
      <c r="E37" s="83"/>
      <c r="F37" s="84"/>
      <c r="G37" s="85"/>
      <c r="H37" s="86" t="s">
        <v>172</v>
      </c>
      <c r="I37" s="89"/>
      <c r="J37" s="8"/>
      <c r="K37" s="8"/>
      <c r="L37" s="8"/>
      <c r="M37" s="8"/>
      <c r="N37" s="8"/>
      <c r="O37" s="8"/>
      <c r="P37" s="8"/>
      <c r="Q37" s="8"/>
      <c r="R37" s="8"/>
      <c r="S37" s="8"/>
      <c r="T37" s="8"/>
      <c r="U37" s="8"/>
      <c r="V37" s="8"/>
      <c r="W37" s="8"/>
      <c r="X37" s="8"/>
      <c r="Y37" s="8"/>
      <c r="Z37" s="8"/>
    </row>
    <row r="38" spans="1:26" ht="122.25" customHeight="1" x14ac:dyDescent="0.3">
      <c r="A38" s="82" t="s">
        <v>802</v>
      </c>
      <c r="B38" s="83" t="s">
        <v>212</v>
      </c>
      <c r="C38" s="83" t="s">
        <v>803</v>
      </c>
      <c r="D38" s="83" t="s">
        <v>688</v>
      </c>
      <c r="E38" s="83"/>
      <c r="F38" s="84"/>
      <c r="G38" s="85"/>
      <c r="H38" s="86" t="s">
        <v>213</v>
      </c>
      <c r="I38" s="89"/>
      <c r="J38" s="8"/>
      <c r="K38" s="8"/>
      <c r="L38" s="8"/>
      <c r="M38" s="8"/>
      <c r="N38" s="8"/>
      <c r="O38" s="8"/>
      <c r="P38" s="8"/>
      <c r="Q38" s="8"/>
      <c r="R38" s="8"/>
      <c r="S38" s="8"/>
      <c r="T38" s="8"/>
      <c r="U38" s="8"/>
      <c r="V38" s="8"/>
      <c r="W38" s="8"/>
      <c r="X38" s="8"/>
      <c r="Y38" s="8"/>
      <c r="Z38" s="8"/>
    </row>
    <row r="39" spans="1:26" ht="109.5" customHeight="1" x14ac:dyDescent="0.3">
      <c r="A39" s="82" t="s">
        <v>804</v>
      </c>
      <c r="B39" s="83" t="s">
        <v>215</v>
      </c>
      <c r="C39" s="83" t="s">
        <v>805</v>
      </c>
      <c r="D39" s="83" t="s">
        <v>806</v>
      </c>
      <c r="E39" s="83"/>
      <c r="F39" s="84"/>
      <c r="G39" s="85"/>
      <c r="H39" s="86"/>
      <c r="I39" s="89"/>
      <c r="J39" s="8"/>
      <c r="K39" s="8"/>
      <c r="L39" s="8"/>
      <c r="M39" s="8"/>
      <c r="N39" s="8"/>
      <c r="O39" s="8"/>
      <c r="P39" s="8"/>
      <c r="Q39" s="8"/>
      <c r="R39" s="8"/>
      <c r="S39" s="8"/>
      <c r="T39" s="8"/>
      <c r="U39" s="8"/>
      <c r="V39" s="8"/>
      <c r="W39" s="8"/>
      <c r="X39" s="8"/>
      <c r="Y39" s="8"/>
      <c r="Z39" s="8"/>
    </row>
    <row r="40" spans="1:26" ht="135" customHeight="1" x14ac:dyDescent="0.3">
      <c r="A40" s="82" t="s">
        <v>807</v>
      </c>
      <c r="B40" s="83" t="s">
        <v>216</v>
      </c>
      <c r="C40" s="83" t="s">
        <v>808</v>
      </c>
      <c r="D40" s="83" t="s">
        <v>809</v>
      </c>
      <c r="E40" s="83"/>
      <c r="F40" s="84"/>
      <c r="G40" s="85"/>
      <c r="H40" s="86" t="s">
        <v>172</v>
      </c>
      <c r="I40" s="89"/>
      <c r="J40" s="8"/>
      <c r="K40" s="8"/>
      <c r="L40" s="8"/>
      <c r="M40" s="8"/>
      <c r="N40" s="8"/>
      <c r="O40" s="8"/>
      <c r="P40" s="8"/>
      <c r="Q40" s="8"/>
      <c r="R40" s="8"/>
      <c r="S40" s="8"/>
      <c r="T40" s="8"/>
      <c r="U40" s="8"/>
      <c r="V40" s="8"/>
      <c r="W40" s="8"/>
      <c r="X40" s="8"/>
      <c r="Y40" s="8"/>
      <c r="Z40" s="8"/>
    </row>
    <row r="41" spans="1:26" ht="135" customHeight="1" x14ac:dyDescent="0.3">
      <c r="A41" s="82" t="s">
        <v>810</v>
      </c>
      <c r="B41" s="83" t="s">
        <v>217</v>
      </c>
      <c r="C41" s="83" t="s">
        <v>811</v>
      </c>
      <c r="D41" s="83" t="s">
        <v>812</v>
      </c>
      <c r="E41" s="83"/>
      <c r="F41" s="84"/>
      <c r="G41" s="85"/>
      <c r="H41" s="86"/>
      <c r="I41" s="89"/>
      <c r="J41" s="8"/>
      <c r="K41" s="8"/>
      <c r="L41" s="8"/>
      <c r="M41" s="8"/>
      <c r="N41" s="8"/>
      <c r="O41" s="8"/>
      <c r="P41" s="8"/>
      <c r="Q41" s="8"/>
      <c r="R41" s="8"/>
      <c r="S41" s="8"/>
      <c r="T41" s="8"/>
      <c r="U41" s="8"/>
      <c r="V41" s="8"/>
      <c r="W41" s="8"/>
      <c r="X41" s="8"/>
      <c r="Y41" s="8"/>
      <c r="Z41" s="8"/>
    </row>
    <row r="42" spans="1:26" ht="122.25" customHeight="1" x14ac:dyDescent="0.3">
      <c r="A42" s="82" t="s">
        <v>813</v>
      </c>
      <c r="B42" s="83" t="s">
        <v>253</v>
      </c>
      <c r="C42" s="83" t="s">
        <v>814</v>
      </c>
      <c r="D42" s="83" t="s">
        <v>815</v>
      </c>
      <c r="E42" s="83"/>
      <c r="F42" s="84"/>
      <c r="G42" s="85"/>
      <c r="H42" s="86" t="s">
        <v>219</v>
      </c>
      <c r="I42" s="89"/>
      <c r="J42" s="8"/>
      <c r="K42" s="8"/>
      <c r="L42" s="8"/>
      <c r="M42" s="8"/>
      <c r="N42" s="8"/>
      <c r="O42" s="8"/>
      <c r="P42" s="8"/>
      <c r="Q42" s="8"/>
      <c r="R42" s="8"/>
      <c r="S42" s="8"/>
      <c r="T42" s="8"/>
      <c r="U42" s="8"/>
      <c r="V42" s="8"/>
      <c r="W42" s="8"/>
      <c r="X42" s="8"/>
      <c r="Y42" s="8"/>
      <c r="Z42" s="8"/>
    </row>
    <row r="43" spans="1:26" ht="122.25" customHeight="1" x14ac:dyDescent="0.3">
      <c r="A43" s="82" t="s">
        <v>816</v>
      </c>
      <c r="B43" s="83" t="s">
        <v>220</v>
      </c>
      <c r="C43" s="83" t="s">
        <v>817</v>
      </c>
      <c r="D43" s="83" t="s">
        <v>703</v>
      </c>
      <c r="E43" s="83"/>
      <c r="F43" s="84"/>
      <c r="G43" s="85"/>
      <c r="H43" s="86" t="s">
        <v>221</v>
      </c>
      <c r="I43" s="89"/>
      <c r="J43" s="8"/>
      <c r="K43" s="8"/>
      <c r="L43" s="8"/>
      <c r="M43" s="8"/>
      <c r="N43" s="8"/>
      <c r="O43" s="8"/>
      <c r="P43" s="8"/>
      <c r="Q43" s="8"/>
      <c r="R43" s="8"/>
      <c r="S43" s="8"/>
      <c r="T43" s="8"/>
      <c r="U43" s="8"/>
      <c r="V43" s="8"/>
      <c r="W43" s="8"/>
      <c r="X43" s="8"/>
      <c r="Y43" s="8"/>
      <c r="Z43" s="8"/>
    </row>
    <row r="44" spans="1:26" ht="122.25" customHeight="1" x14ac:dyDescent="0.3">
      <c r="A44" s="82" t="s">
        <v>818</v>
      </c>
      <c r="B44" s="83" t="s">
        <v>222</v>
      </c>
      <c r="C44" s="83" t="s">
        <v>819</v>
      </c>
      <c r="D44" s="83" t="s">
        <v>820</v>
      </c>
      <c r="E44" s="83"/>
      <c r="F44" s="84"/>
      <c r="G44" s="85"/>
      <c r="H44" s="86"/>
      <c r="I44" s="89"/>
      <c r="J44" s="8"/>
      <c r="K44" s="8"/>
      <c r="L44" s="8"/>
      <c r="M44" s="8"/>
      <c r="N44" s="8"/>
      <c r="O44" s="8"/>
      <c r="P44" s="8"/>
      <c r="Q44" s="8"/>
      <c r="R44" s="8"/>
      <c r="S44" s="8"/>
      <c r="T44" s="8"/>
      <c r="U44" s="8"/>
      <c r="V44" s="8"/>
      <c r="W44" s="8"/>
      <c r="X44" s="8"/>
      <c r="Y44" s="8"/>
      <c r="Z44" s="8"/>
    </row>
    <row r="45" spans="1:26" ht="122.25" customHeight="1" x14ac:dyDescent="0.3">
      <c r="A45" s="82" t="s">
        <v>821</v>
      </c>
      <c r="B45" s="83" t="s">
        <v>124</v>
      </c>
      <c r="C45" s="83" t="s">
        <v>822</v>
      </c>
      <c r="D45" s="83" t="s">
        <v>709</v>
      </c>
      <c r="E45" s="83"/>
      <c r="F45" s="84"/>
      <c r="G45" s="85"/>
      <c r="H45" s="86"/>
      <c r="I45" s="89"/>
      <c r="J45" s="8"/>
      <c r="K45" s="8"/>
      <c r="L45" s="8"/>
      <c r="M45" s="8"/>
      <c r="N45" s="8"/>
      <c r="O45" s="8"/>
      <c r="P45" s="8"/>
      <c r="Q45" s="8"/>
      <c r="R45" s="8"/>
      <c r="S45" s="8"/>
      <c r="T45" s="8"/>
      <c r="U45" s="8"/>
      <c r="V45" s="8"/>
      <c r="W45" s="8"/>
      <c r="X45" s="8"/>
      <c r="Y45" s="8"/>
      <c r="Z45" s="8"/>
    </row>
    <row r="46" spans="1:26" ht="160.5" customHeight="1" x14ac:dyDescent="0.3">
      <c r="A46" s="82" t="s">
        <v>823</v>
      </c>
      <c r="B46" s="83" t="s">
        <v>254</v>
      </c>
      <c r="C46" s="83" t="s">
        <v>824</v>
      </c>
      <c r="D46" s="83" t="s">
        <v>825</v>
      </c>
      <c r="E46" s="83"/>
      <c r="F46" s="84"/>
      <c r="G46" s="85"/>
      <c r="H46" s="86"/>
      <c r="I46" s="89"/>
      <c r="J46" s="8"/>
      <c r="K46" s="8"/>
      <c r="L46" s="8"/>
      <c r="M46" s="8"/>
      <c r="N46" s="8"/>
      <c r="O46" s="8"/>
      <c r="P46" s="8"/>
      <c r="Q46" s="8"/>
      <c r="R46" s="8"/>
      <c r="S46" s="8"/>
      <c r="T46" s="8"/>
      <c r="U46" s="8"/>
      <c r="V46" s="8"/>
      <c r="W46" s="8"/>
      <c r="X46" s="8"/>
      <c r="Y46" s="8"/>
      <c r="Z46" s="8"/>
    </row>
    <row r="47" spans="1:26" ht="122.25" customHeight="1" x14ac:dyDescent="0.3">
      <c r="A47" s="82" t="s">
        <v>826</v>
      </c>
      <c r="B47" s="83" t="s">
        <v>255</v>
      </c>
      <c r="C47" s="83" t="s">
        <v>827</v>
      </c>
      <c r="D47" s="83" t="s">
        <v>715</v>
      </c>
      <c r="E47" s="83"/>
      <c r="F47" s="84"/>
      <c r="G47" s="85"/>
      <c r="H47" s="86"/>
      <c r="I47" s="89"/>
      <c r="J47" s="8"/>
      <c r="K47" s="8"/>
      <c r="L47" s="8"/>
      <c r="M47" s="8"/>
      <c r="N47" s="8"/>
      <c r="O47" s="8"/>
      <c r="P47" s="8"/>
      <c r="Q47" s="8"/>
      <c r="R47" s="8"/>
      <c r="S47" s="8"/>
      <c r="T47" s="8"/>
      <c r="U47" s="8"/>
      <c r="V47" s="8"/>
      <c r="W47" s="8"/>
      <c r="X47" s="8"/>
      <c r="Y47" s="8"/>
      <c r="Z47" s="8"/>
    </row>
    <row r="48" spans="1:26" ht="135" customHeight="1" x14ac:dyDescent="0.3">
      <c r="A48" s="82" t="s">
        <v>828</v>
      </c>
      <c r="B48" s="83" t="s">
        <v>256</v>
      </c>
      <c r="C48" s="83" t="s">
        <v>829</v>
      </c>
      <c r="D48" s="83" t="s">
        <v>830</v>
      </c>
      <c r="E48" s="83"/>
      <c r="F48" s="84"/>
      <c r="G48" s="85"/>
      <c r="H48" s="86" t="s">
        <v>227</v>
      </c>
      <c r="I48" s="89"/>
      <c r="J48" s="8"/>
      <c r="K48" s="8"/>
      <c r="L48" s="8"/>
      <c r="M48" s="8"/>
      <c r="N48" s="8"/>
      <c r="O48" s="8"/>
      <c r="P48" s="8"/>
      <c r="Q48" s="8"/>
      <c r="R48" s="8"/>
      <c r="S48" s="8"/>
      <c r="T48" s="8"/>
      <c r="U48" s="8"/>
      <c r="V48" s="8"/>
      <c r="W48" s="8"/>
      <c r="X48" s="8"/>
      <c r="Y48" s="8"/>
      <c r="Z48" s="8"/>
    </row>
    <row r="49" spans="1:26" ht="109.5" customHeight="1" x14ac:dyDescent="0.3">
      <c r="A49" s="82" t="s">
        <v>831</v>
      </c>
      <c r="B49" s="83" t="s">
        <v>257</v>
      </c>
      <c r="C49" s="83" t="s">
        <v>832</v>
      </c>
      <c r="D49" s="83" t="s">
        <v>721</v>
      </c>
      <c r="E49" s="83"/>
      <c r="F49" s="84"/>
      <c r="G49" s="85"/>
      <c r="H49" s="86"/>
      <c r="I49" s="89"/>
      <c r="J49" s="8"/>
      <c r="K49" s="8"/>
      <c r="L49" s="8"/>
      <c r="M49" s="8"/>
      <c r="N49" s="8"/>
      <c r="O49" s="8"/>
      <c r="P49" s="8"/>
      <c r="Q49" s="8"/>
      <c r="R49" s="8"/>
      <c r="S49" s="8"/>
      <c r="T49" s="8"/>
      <c r="U49" s="8"/>
      <c r="V49" s="8"/>
      <c r="W49" s="8"/>
      <c r="X49" s="8"/>
      <c r="Y49" s="8"/>
      <c r="Z49" s="8"/>
    </row>
    <row r="50" spans="1:26" ht="122.25" customHeight="1" x14ac:dyDescent="0.3">
      <c r="A50" s="82" t="s">
        <v>833</v>
      </c>
      <c r="B50" s="83" t="s">
        <v>258</v>
      </c>
      <c r="C50" s="83" t="s">
        <v>834</v>
      </c>
      <c r="D50" s="83" t="s">
        <v>835</v>
      </c>
      <c r="E50" s="83"/>
      <c r="F50" s="84"/>
      <c r="G50" s="85"/>
      <c r="H50" s="86" t="s">
        <v>259</v>
      </c>
      <c r="I50" s="89"/>
      <c r="J50" s="8"/>
      <c r="K50" s="8"/>
      <c r="L50" s="8"/>
      <c r="M50" s="8"/>
      <c r="N50" s="8"/>
      <c r="O50" s="8"/>
      <c r="P50" s="8"/>
      <c r="Q50" s="8"/>
      <c r="R50" s="8"/>
      <c r="S50" s="8"/>
      <c r="T50" s="8"/>
      <c r="U50" s="8"/>
      <c r="V50" s="8"/>
      <c r="W50" s="8"/>
      <c r="X50" s="8"/>
      <c r="Y50" s="8"/>
      <c r="Z50" s="8"/>
    </row>
    <row r="51" spans="1:26" ht="14.25" customHeight="1" x14ac:dyDescent="0.3">
      <c r="A51" s="8"/>
      <c r="B51" s="8"/>
      <c r="C51" s="8"/>
      <c r="D51" s="8"/>
      <c r="E51" s="8"/>
      <c r="F51" s="8"/>
      <c r="G51" s="8"/>
      <c r="H51" s="8"/>
      <c r="I51" s="89"/>
      <c r="J51" s="8"/>
      <c r="K51" s="8"/>
      <c r="L51" s="8"/>
      <c r="M51" s="8"/>
      <c r="N51" s="8"/>
      <c r="O51" s="8"/>
      <c r="P51" s="8"/>
      <c r="Q51" s="8"/>
      <c r="R51" s="8"/>
      <c r="S51" s="8"/>
      <c r="T51" s="8"/>
      <c r="U51" s="8"/>
      <c r="V51" s="8"/>
      <c r="W51" s="8"/>
      <c r="X51" s="8"/>
      <c r="Y51" s="8"/>
      <c r="Z51" s="8"/>
    </row>
    <row r="52" spans="1:26" ht="14.25" customHeight="1" x14ac:dyDescent="0.3">
      <c r="A52" s="8"/>
      <c r="B52" s="8"/>
      <c r="C52" s="8"/>
      <c r="D52" s="8"/>
      <c r="E52" s="8"/>
      <c r="F52" s="8"/>
      <c r="G52" s="8"/>
      <c r="H52" s="8"/>
      <c r="I52" s="89"/>
      <c r="J52" s="8"/>
      <c r="K52" s="8"/>
      <c r="L52" s="8"/>
      <c r="M52" s="8"/>
      <c r="N52" s="8"/>
      <c r="O52" s="8"/>
      <c r="P52" s="8"/>
      <c r="Q52" s="8"/>
      <c r="R52" s="8"/>
      <c r="S52" s="8"/>
      <c r="T52" s="8"/>
      <c r="U52" s="8"/>
      <c r="V52" s="8"/>
      <c r="W52" s="8"/>
      <c r="X52" s="8"/>
      <c r="Y52" s="8"/>
      <c r="Z52" s="8"/>
    </row>
    <row r="53" spans="1:26" ht="14.25" customHeight="1" x14ac:dyDescent="0.3">
      <c r="A53" s="8"/>
      <c r="B53" s="8"/>
      <c r="C53" s="8"/>
      <c r="D53" s="8"/>
      <c r="E53" s="8"/>
      <c r="F53" s="8"/>
      <c r="G53" s="8"/>
      <c r="H53" s="8"/>
      <c r="I53" s="89"/>
      <c r="J53" s="8"/>
      <c r="K53" s="8"/>
      <c r="L53" s="8"/>
      <c r="M53" s="8"/>
      <c r="N53" s="8"/>
      <c r="O53" s="8"/>
      <c r="P53" s="8"/>
      <c r="Q53" s="8"/>
      <c r="R53" s="8"/>
      <c r="S53" s="8"/>
      <c r="T53" s="8"/>
      <c r="U53" s="8"/>
      <c r="V53" s="8"/>
      <c r="W53" s="8"/>
      <c r="X53" s="8"/>
      <c r="Y53" s="8"/>
      <c r="Z53" s="8"/>
    </row>
    <row r="54" spans="1:26" ht="14.25" customHeight="1" x14ac:dyDescent="0.3">
      <c r="A54" s="8"/>
      <c r="B54" s="8"/>
      <c r="C54" s="8"/>
      <c r="D54" s="8"/>
      <c r="E54" s="8"/>
      <c r="F54" s="8"/>
      <c r="G54" s="8"/>
      <c r="H54" s="8"/>
      <c r="I54" s="89"/>
      <c r="J54" s="8"/>
      <c r="K54" s="8"/>
      <c r="L54" s="8"/>
      <c r="M54" s="8"/>
      <c r="N54" s="8"/>
      <c r="O54" s="8"/>
      <c r="P54" s="8"/>
      <c r="Q54" s="8"/>
      <c r="R54" s="8"/>
      <c r="S54" s="8"/>
      <c r="T54" s="8"/>
      <c r="U54" s="8"/>
      <c r="V54" s="8"/>
      <c r="W54" s="8"/>
      <c r="X54" s="8"/>
      <c r="Y54" s="8"/>
      <c r="Z54" s="8"/>
    </row>
    <row r="55" spans="1:26" ht="14.25" customHeight="1" x14ac:dyDescent="0.3">
      <c r="A55" s="8"/>
      <c r="B55" s="8"/>
      <c r="C55" s="8"/>
      <c r="D55" s="8"/>
      <c r="E55" s="8"/>
      <c r="F55" s="8"/>
      <c r="G55" s="8"/>
      <c r="H55" s="8"/>
      <c r="I55" s="89"/>
      <c r="J55" s="8"/>
      <c r="K55" s="8"/>
      <c r="L55" s="8"/>
      <c r="M55" s="8"/>
      <c r="N55" s="8"/>
      <c r="O55" s="8"/>
      <c r="P55" s="8"/>
      <c r="Q55" s="8"/>
      <c r="R55" s="8"/>
      <c r="S55" s="8"/>
      <c r="T55" s="8"/>
      <c r="U55" s="8"/>
      <c r="V55" s="8"/>
      <c r="W55" s="8"/>
      <c r="X55" s="8"/>
      <c r="Y55" s="8"/>
      <c r="Z55" s="8"/>
    </row>
    <row r="56" spans="1:26" ht="14.25" customHeight="1" x14ac:dyDescent="0.3">
      <c r="A56" s="8"/>
      <c r="B56" s="8"/>
      <c r="C56" s="8"/>
      <c r="D56" s="8"/>
      <c r="E56" s="8"/>
      <c r="F56" s="8"/>
      <c r="G56" s="8"/>
      <c r="H56" s="8"/>
      <c r="I56" s="89"/>
      <c r="J56" s="8"/>
      <c r="K56" s="8"/>
      <c r="L56" s="8"/>
      <c r="M56" s="8"/>
      <c r="N56" s="8"/>
      <c r="O56" s="8"/>
      <c r="P56" s="8"/>
      <c r="Q56" s="8"/>
      <c r="R56" s="8"/>
      <c r="S56" s="8"/>
      <c r="T56" s="8"/>
      <c r="U56" s="8"/>
      <c r="V56" s="8"/>
      <c r="W56" s="8"/>
      <c r="X56" s="8"/>
      <c r="Y56" s="8"/>
      <c r="Z56" s="8"/>
    </row>
    <row r="57" spans="1:26" ht="14.25" customHeight="1" x14ac:dyDescent="0.3">
      <c r="A57" s="8"/>
      <c r="B57" s="8"/>
      <c r="C57" s="8"/>
      <c r="D57" s="8"/>
      <c r="E57" s="8"/>
      <c r="F57" s="8"/>
      <c r="G57" s="8"/>
      <c r="H57" s="8"/>
      <c r="I57" s="89"/>
      <c r="J57" s="8"/>
      <c r="K57" s="8"/>
      <c r="L57" s="8"/>
      <c r="M57" s="8"/>
      <c r="N57" s="8"/>
      <c r="O57" s="8"/>
      <c r="P57" s="8"/>
      <c r="Q57" s="8"/>
      <c r="R57" s="8"/>
      <c r="S57" s="8"/>
      <c r="T57" s="8"/>
      <c r="U57" s="8"/>
      <c r="V57" s="8"/>
      <c r="W57" s="8"/>
      <c r="X57" s="8"/>
      <c r="Y57" s="8"/>
      <c r="Z57" s="8"/>
    </row>
    <row r="58" spans="1:26" ht="14.25" customHeight="1" x14ac:dyDescent="0.3">
      <c r="A58" s="8"/>
      <c r="B58" s="8"/>
      <c r="C58" s="8"/>
      <c r="D58" s="8"/>
      <c r="E58" s="8"/>
      <c r="F58" s="8"/>
      <c r="G58" s="8"/>
      <c r="H58" s="8"/>
      <c r="I58" s="89"/>
      <c r="J58" s="8"/>
      <c r="K58" s="8"/>
      <c r="L58" s="8"/>
      <c r="M58" s="8"/>
      <c r="N58" s="8"/>
      <c r="O58" s="8"/>
      <c r="P58" s="8"/>
      <c r="Q58" s="8"/>
      <c r="R58" s="8"/>
      <c r="S58" s="8"/>
      <c r="T58" s="8"/>
      <c r="U58" s="8"/>
      <c r="V58" s="8"/>
      <c r="W58" s="8"/>
      <c r="X58" s="8"/>
      <c r="Y58" s="8"/>
      <c r="Z58" s="8"/>
    </row>
    <row r="59" spans="1:26" ht="14.25" customHeight="1" x14ac:dyDescent="0.3">
      <c r="A59" s="8"/>
      <c r="B59" s="8"/>
      <c r="C59" s="8"/>
      <c r="D59" s="8"/>
      <c r="E59" s="8"/>
      <c r="F59" s="8"/>
      <c r="G59" s="8"/>
      <c r="H59" s="8"/>
      <c r="I59" s="89"/>
      <c r="J59" s="8"/>
      <c r="K59" s="8"/>
      <c r="L59" s="8"/>
      <c r="M59" s="8"/>
      <c r="N59" s="8"/>
      <c r="O59" s="8"/>
      <c r="P59" s="8"/>
      <c r="Q59" s="8"/>
      <c r="R59" s="8"/>
      <c r="S59" s="8"/>
      <c r="T59" s="8"/>
      <c r="U59" s="8"/>
      <c r="V59" s="8"/>
      <c r="W59" s="8"/>
      <c r="X59" s="8"/>
      <c r="Y59" s="8"/>
      <c r="Z59" s="8"/>
    </row>
    <row r="60" spans="1:26" ht="14.25" customHeight="1" x14ac:dyDescent="0.3">
      <c r="A60" s="8"/>
      <c r="B60" s="8"/>
      <c r="C60" s="8"/>
      <c r="D60" s="8"/>
      <c r="E60" s="8"/>
      <c r="F60" s="8"/>
      <c r="G60" s="8"/>
      <c r="H60" s="8"/>
      <c r="I60" s="89"/>
      <c r="J60" s="8"/>
      <c r="K60" s="8"/>
      <c r="L60" s="8"/>
      <c r="M60" s="8"/>
      <c r="N60" s="8"/>
      <c r="O60" s="8"/>
      <c r="P60" s="8"/>
      <c r="Q60" s="8"/>
      <c r="R60" s="8"/>
      <c r="S60" s="8"/>
      <c r="T60" s="8"/>
      <c r="U60" s="8"/>
      <c r="V60" s="8"/>
      <c r="W60" s="8"/>
      <c r="X60" s="8"/>
      <c r="Y60" s="8"/>
      <c r="Z60" s="8"/>
    </row>
    <row r="61" spans="1:26" ht="14.25" customHeight="1" x14ac:dyDescent="0.3">
      <c r="A61" s="8"/>
      <c r="B61" s="8"/>
      <c r="C61" s="8"/>
      <c r="D61" s="8"/>
      <c r="E61" s="8"/>
      <c r="F61" s="8"/>
      <c r="G61" s="8"/>
      <c r="H61" s="8"/>
      <c r="I61" s="89"/>
      <c r="J61" s="8"/>
      <c r="K61" s="8"/>
      <c r="L61" s="8"/>
      <c r="M61" s="8"/>
      <c r="N61" s="8"/>
      <c r="O61" s="8"/>
      <c r="P61" s="8"/>
      <c r="Q61" s="8"/>
      <c r="R61" s="8"/>
      <c r="S61" s="8"/>
      <c r="T61" s="8"/>
      <c r="U61" s="8"/>
      <c r="V61" s="8"/>
      <c r="W61" s="8"/>
      <c r="X61" s="8"/>
      <c r="Y61" s="8"/>
      <c r="Z61" s="8"/>
    </row>
    <row r="62" spans="1:26" ht="14.25" customHeight="1" x14ac:dyDescent="0.3">
      <c r="A62" s="8"/>
      <c r="B62" s="8"/>
      <c r="C62" s="8"/>
      <c r="D62" s="8"/>
      <c r="E62" s="8"/>
      <c r="F62" s="8"/>
      <c r="G62" s="8"/>
      <c r="H62" s="8"/>
      <c r="I62" s="89"/>
      <c r="J62" s="8"/>
      <c r="K62" s="8"/>
      <c r="L62" s="8"/>
      <c r="M62" s="8"/>
      <c r="N62" s="8"/>
      <c r="O62" s="8"/>
      <c r="P62" s="8"/>
      <c r="Q62" s="8"/>
      <c r="R62" s="8"/>
      <c r="S62" s="8"/>
      <c r="T62" s="8"/>
      <c r="U62" s="8"/>
      <c r="V62" s="8"/>
      <c r="W62" s="8"/>
      <c r="X62" s="8"/>
      <c r="Y62" s="8"/>
      <c r="Z62" s="8"/>
    </row>
    <row r="63" spans="1:26" ht="14.25" customHeight="1" x14ac:dyDescent="0.3">
      <c r="A63" s="8"/>
      <c r="B63" s="8"/>
      <c r="C63" s="8"/>
      <c r="D63" s="8"/>
      <c r="E63" s="8"/>
      <c r="F63" s="8"/>
      <c r="G63" s="8"/>
      <c r="H63" s="8"/>
      <c r="I63" s="89"/>
      <c r="J63" s="8"/>
      <c r="K63" s="8"/>
      <c r="L63" s="8"/>
      <c r="M63" s="8"/>
      <c r="N63" s="8"/>
      <c r="O63" s="8"/>
      <c r="P63" s="8"/>
      <c r="Q63" s="8"/>
      <c r="R63" s="8"/>
      <c r="S63" s="8"/>
      <c r="T63" s="8"/>
      <c r="U63" s="8"/>
      <c r="V63" s="8"/>
      <c r="W63" s="8"/>
      <c r="X63" s="8"/>
      <c r="Y63" s="8"/>
      <c r="Z63" s="8"/>
    </row>
    <row r="64" spans="1:26" ht="14.25" customHeight="1" x14ac:dyDescent="0.3">
      <c r="A64" s="8"/>
      <c r="B64" s="8"/>
      <c r="C64" s="8"/>
      <c r="D64" s="8"/>
      <c r="E64" s="8"/>
      <c r="F64" s="8"/>
      <c r="G64" s="8"/>
      <c r="H64" s="8"/>
      <c r="I64" s="89"/>
      <c r="J64" s="8"/>
      <c r="K64" s="8"/>
      <c r="L64" s="8"/>
      <c r="M64" s="8"/>
      <c r="N64" s="8"/>
      <c r="O64" s="8"/>
      <c r="P64" s="8"/>
      <c r="Q64" s="8"/>
      <c r="R64" s="8"/>
      <c r="S64" s="8"/>
      <c r="T64" s="8"/>
      <c r="U64" s="8"/>
      <c r="V64" s="8"/>
      <c r="W64" s="8"/>
      <c r="X64" s="8"/>
      <c r="Y64" s="8"/>
      <c r="Z64" s="8"/>
    </row>
    <row r="65" spans="1:26" ht="14.25" customHeight="1" x14ac:dyDescent="0.3">
      <c r="A65" s="8"/>
      <c r="B65" s="8"/>
      <c r="C65" s="8"/>
      <c r="D65" s="8"/>
      <c r="E65" s="8"/>
      <c r="F65" s="8"/>
      <c r="G65" s="8"/>
      <c r="H65" s="8"/>
      <c r="I65" s="89"/>
      <c r="J65" s="8"/>
      <c r="K65" s="8"/>
      <c r="L65" s="8"/>
      <c r="M65" s="8"/>
      <c r="N65" s="8"/>
      <c r="O65" s="8"/>
      <c r="P65" s="8"/>
      <c r="Q65" s="8"/>
      <c r="R65" s="8"/>
      <c r="S65" s="8"/>
      <c r="T65" s="8"/>
      <c r="U65" s="8"/>
      <c r="V65" s="8"/>
      <c r="W65" s="8"/>
      <c r="X65" s="8"/>
      <c r="Y65" s="8"/>
      <c r="Z65" s="8"/>
    </row>
    <row r="66" spans="1:26" ht="14.25" customHeight="1" x14ac:dyDescent="0.3">
      <c r="A66" s="8"/>
      <c r="B66" s="8"/>
      <c r="C66" s="8"/>
      <c r="D66" s="8"/>
      <c r="E66" s="8"/>
      <c r="F66" s="8"/>
      <c r="G66" s="8"/>
      <c r="H66" s="8"/>
      <c r="I66" s="89"/>
      <c r="J66" s="8"/>
      <c r="K66" s="8"/>
      <c r="L66" s="8"/>
      <c r="M66" s="8"/>
      <c r="N66" s="8"/>
      <c r="O66" s="8"/>
      <c r="P66" s="8"/>
      <c r="Q66" s="8"/>
      <c r="R66" s="8"/>
      <c r="S66" s="8"/>
      <c r="T66" s="8"/>
      <c r="U66" s="8"/>
      <c r="V66" s="8"/>
      <c r="W66" s="8"/>
      <c r="X66" s="8"/>
      <c r="Y66" s="8"/>
      <c r="Z66" s="8"/>
    </row>
    <row r="67" spans="1:26" ht="14.25" customHeight="1" x14ac:dyDescent="0.3">
      <c r="A67" s="8"/>
      <c r="B67" s="8"/>
      <c r="C67" s="8"/>
      <c r="D67" s="8"/>
      <c r="E67" s="8"/>
      <c r="F67" s="8"/>
      <c r="G67" s="8"/>
      <c r="H67" s="8"/>
      <c r="I67" s="89"/>
      <c r="J67" s="8"/>
      <c r="K67" s="8"/>
      <c r="L67" s="8"/>
      <c r="M67" s="8"/>
      <c r="N67" s="8"/>
      <c r="O67" s="8"/>
      <c r="P67" s="8"/>
      <c r="Q67" s="8"/>
      <c r="R67" s="8"/>
      <c r="S67" s="8"/>
      <c r="T67" s="8"/>
      <c r="U67" s="8"/>
      <c r="V67" s="8"/>
      <c r="W67" s="8"/>
      <c r="X67" s="8"/>
      <c r="Y67" s="8"/>
      <c r="Z67" s="8"/>
    </row>
    <row r="68" spans="1:26" ht="14.25" customHeight="1" x14ac:dyDescent="0.3">
      <c r="A68" s="8"/>
      <c r="B68" s="8"/>
      <c r="C68" s="8"/>
      <c r="D68" s="8"/>
      <c r="E68" s="8"/>
      <c r="F68" s="8"/>
      <c r="G68" s="8"/>
      <c r="H68" s="8"/>
      <c r="I68" s="89"/>
      <c r="J68" s="8"/>
      <c r="K68" s="8"/>
      <c r="L68" s="8"/>
      <c r="M68" s="8"/>
      <c r="N68" s="8"/>
      <c r="O68" s="8"/>
      <c r="P68" s="8"/>
      <c r="Q68" s="8"/>
      <c r="R68" s="8"/>
      <c r="S68" s="8"/>
      <c r="T68" s="8"/>
      <c r="U68" s="8"/>
      <c r="V68" s="8"/>
      <c r="W68" s="8"/>
      <c r="X68" s="8"/>
      <c r="Y68" s="8"/>
      <c r="Z68" s="8"/>
    </row>
    <row r="69" spans="1:26" ht="14.25" customHeight="1" x14ac:dyDescent="0.3">
      <c r="A69" s="8"/>
      <c r="B69" s="8"/>
      <c r="C69" s="8"/>
      <c r="D69" s="8"/>
      <c r="E69" s="8"/>
      <c r="F69" s="8"/>
      <c r="G69" s="8"/>
      <c r="H69" s="8"/>
      <c r="I69" s="89"/>
      <c r="J69" s="8"/>
      <c r="K69" s="8"/>
      <c r="L69" s="8"/>
      <c r="M69" s="8"/>
      <c r="N69" s="8"/>
      <c r="O69" s="8"/>
      <c r="P69" s="8"/>
      <c r="Q69" s="8"/>
      <c r="R69" s="8"/>
      <c r="S69" s="8"/>
      <c r="T69" s="8"/>
      <c r="U69" s="8"/>
      <c r="V69" s="8"/>
      <c r="W69" s="8"/>
      <c r="X69" s="8"/>
      <c r="Y69" s="8"/>
      <c r="Z69" s="8"/>
    </row>
    <row r="70" spans="1:26" ht="14.25" customHeight="1" x14ac:dyDescent="0.3">
      <c r="A70" s="8"/>
      <c r="B70" s="8"/>
      <c r="C70" s="8"/>
      <c r="D70" s="8"/>
      <c r="E70" s="8"/>
      <c r="F70" s="8"/>
      <c r="G70" s="8"/>
      <c r="H70" s="8"/>
      <c r="I70" s="89"/>
      <c r="J70" s="8"/>
      <c r="K70" s="8"/>
      <c r="L70" s="8"/>
      <c r="M70" s="8"/>
      <c r="N70" s="8"/>
      <c r="O70" s="8"/>
      <c r="P70" s="8"/>
      <c r="Q70" s="8"/>
      <c r="R70" s="8"/>
      <c r="S70" s="8"/>
      <c r="T70" s="8"/>
      <c r="U70" s="8"/>
      <c r="V70" s="8"/>
      <c r="W70" s="8"/>
      <c r="X70" s="8"/>
      <c r="Y70" s="8"/>
      <c r="Z70" s="8"/>
    </row>
    <row r="71" spans="1:26" ht="14.25" customHeight="1" x14ac:dyDescent="0.3">
      <c r="A71" s="8"/>
      <c r="B71" s="8"/>
      <c r="C71" s="8"/>
      <c r="D71" s="8"/>
      <c r="E71" s="8"/>
      <c r="F71" s="8"/>
      <c r="G71" s="8"/>
      <c r="H71" s="8"/>
      <c r="I71" s="89"/>
      <c r="J71" s="8"/>
      <c r="K71" s="8"/>
      <c r="L71" s="8"/>
      <c r="M71" s="8"/>
      <c r="N71" s="8"/>
      <c r="O71" s="8"/>
      <c r="P71" s="8"/>
      <c r="Q71" s="8"/>
      <c r="R71" s="8"/>
      <c r="S71" s="8"/>
      <c r="T71" s="8"/>
      <c r="U71" s="8"/>
      <c r="V71" s="8"/>
      <c r="W71" s="8"/>
      <c r="X71" s="8"/>
      <c r="Y71" s="8"/>
      <c r="Z71" s="8"/>
    </row>
    <row r="72" spans="1:26" ht="14.25" customHeight="1" x14ac:dyDescent="0.3">
      <c r="A72" s="8"/>
      <c r="B72" s="8"/>
      <c r="C72" s="8"/>
      <c r="D72" s="8"/>
      <c r="E72" s="8"/>
      <c r="F72" s="8"/>
      <c r="G72" s="8"/>
      <c r="H72" s="8"/>
      <c r="I72" s="89"/>
      <c r="J72" s="8"/>
      <c r="K72" s="8"/>
      <c r="L72" s="8"/>
      <c r="M72" s="8"/>
      <c r="N72" s="8"/>
      <c r="O72" s="8"/>
      <c r="P72" s="8"/>
      <c r="Q72" s="8"/>
      <c r="R72" s="8"/>
      <c r="S72" s="8"/>
      <c r="T72" s="8"/>
      <c r="U72" s="8"/>
      <c r="V72" s="8"/>
      <c r="W72" s="8"/>
      <c r="X72" s="8"/>
      <c r="Y72" s="8"/>
      <c r="Z72" s="8"/>
    </row>
    <row r="73" spans="1:26" ht="14.25" customHeight="1" x14ac:dyDescent="0.3">
      <c r="A73" s="8"/>
      <c r="B73" s="8"/>
      <c r="C73" s="8"/>
      <c r="D73" s="8"/>
      <c r="E73" s="8"/>
      <c r="F73" s="8"/>
      <c r="G73" s="8"/>
      <c r="H73" s="8"/>
      <c r="I73" s="89"/>
      <c r="J73" s="8"/>
      <c r="K73" s="8"/>
      <c r="L73" s="8"/>
      <c r="M73" s="8"/>
      <c r="N73" s="8"/>
      <c r="O73" s="8"/>
      <c r="P73" s="8"/>
      <c r="Q73" s="8"/>
      <c r="R73" s="8"/>
      <c r="S73" s="8"/>
      <c r="T73" s="8"/>
      <c r="U73" s="8"/>
      <c r="V73" s="8"/>
      <c r="W73" s="8"/>
      <c r="X73" s="8"/>
      <c r="Y73" s="8"/>
      <c r="Z73" s="8"/>
    </row>
    <row r="74" spans="1:26" ht="14.25" customHeight="1" x14ac:dyDescent="0.3">
      <c r="A74" s="8"/>
      <c r="B74" s="8"/>
      <c r="C74" s="8"/>
      <c r="D74" s="8"/>
      <c r="E74" s="8"/>
      <c r="F74" s="8"/>
      <c r="G74" s="8"/>
      <c r="H74" s="8"/>
      <c r="I74" s="89"/>
      <c r="J74" s="8"/>
      <c r="K74" s="8"/>
      <c r="L74" s="8"/>
      <c r="M74" s="8"/>
      <c r="N74" s="8"/>
      <c r="O74" s="8"/>
      <c r="P74" s="8"/>
      <c r="Q74" s="8"/>
      <c r="R74" s="8"/>
      <c r="S74" s="8"/>
      <c r="T74" s="8"/>
      <c r="U74" s="8"/>
      <c r="V74" s="8"/>
      <c r="W74" s="8"/>
      <c r="X74" s="8"/>
      <c r="Y74" s="8"/>
      <c r="Z74" s="8"/>
    </row>
    <row r="75" spans="1:26" ht="14.25" customHeight="1" x14ac:dyDescent="0.3">
      <c r="A75" s="8"/>
      <c r="B75" s="8"/>
      <c r="C75" s="8"/>
      <c r="D75" s="8"/>
      <c r="E75" s="8"/>
      <c r="F75" s="8"/>
      <c r="G75" s="8"/>
      <c r="H75" s="8"/>
      <c r="I75" s="89"/>
      <c r="J75" s="8"/>
      <c r="K75" s="8"/>
      <c r="L75" s="8"/>
      <c r="M75" s="8"/>
      <c r="N75" s="8"/>
      <c r="O75" s="8"/>
      <c r="P75" s="8"/>
      <c r="Q75" s="8"/>
      <c r="R75" s="8"/>
      <c r="S75" s="8"/>
      <c r="T75" s="8"/>
      <c r="U75" s="8"/>
      <c r="V75" s="8"/>
      <c r="W75" s="8"/>
      <c r="X75" s="8"/>
      <c r="Y75" s="8"/>
      <c r="Z75" s="8"/>
    </row>
    <row r="76" spans="1:26" ht="14.25" customHeight="1" x14ac:dyDescent="0.3">
      <c r="A76" s="8"/>
      <c r="B76" s="8"/>
      <c r="C76" s="8"/>
      <c r="D76" s="8"/>
      <c r="E76" s="8"/>
      <c r="F76" s="8"/>
      <c r="G76" s="8"/>
      <c r="H76" s="8"/>
      <c r="I76" s="89"/>
      <c r="J76" s="8"/>
      <c r="K76" s="8"/>
      <c r="L76" s="8"/>
      <c r="M76" s="8"/>
      <c r="N76" s="8"/>
      <c r="O76" s="8"/>
      <c r="P76" s="8"/>
      <c r="Q76" s="8"/>
      <c r="R76" s="8"/>
      <c r="S76" s="8"/>
      <c r="T76" s="8"/>
      <c r="U76" s="8"/>
      <c r="V76" s="8"/>
      <c r="W76" s="8"/>
      <c r="X76" s="8"/>
      <c r="Y76" s="8"/>
      <c r="Z76" s="8"/>
    </row>
    <row r="77" spans="1:26" ht="14.25" customHeight="1" x14ac:dyDescent="0.3">
      <c r="A77" s="8"/>
      <c r="B77" s="8"/>
      <c r="C77" s="8"/>
      <c r="D77" s="8"/>
      <c r="E77" s="8"/>
      <c r="F77" s="8"/>
      <c r="G77" s="8"/>
      <c r="H77" s="8"/>
      <c r="I77" s="89"/>
      <c r="J77" s="8"/>
      <c r="K77" s="8"/>
      <c r="L77" s="8"/>
      <c r="M77" s="8"/>
      <c r="N77" s="8"/>
      <c r="O77" s="8"/>
      <c r="P77" s="8"/>
      <c r="Q77" s="8"/>
      <c r="R77" s="8"/>
      <c r="S77" s="8"/>
      <c r="T77" s="8"/>
      <c r="U77" s="8"/>
      <c r="V77" s="8"/>
      <c r="W77" s="8"/>
      <c r="X77" s="8"/>
      <c r="Y77" s="8"/>
      <c r="Z77" s="8"/>
    </row>
    <row r="78" spans="1:26" ht="14.25" customHeight="1" x14ac:dyDescent="0.3">
      <c r="A78" s="8"/>
      <c r="B78" s="8"/>
      <c r="C78" s="8"/>
      <c r="D78" s="8"/>
      <c r="E78" s="8"/>
      <c r="F78" s="8"/>
      <c r="G78" s="8"/>
      <c r="H78" s="8"/>
      <c r="I78" s="89"/>
      <c r="J78" s="8"/>
      <c r="K78" s="8"/>
      <c r="L78" s="8"/>
      <c r="M78" s="8"/>
      <c r="N78" s="8"/>
      <c r="O78" s="8"/>
      <c r="P78" s="8"/>
      <c r="Q78" s="8"/>
      <c r="R78" s="8"/>
      <c r="S78" s="8"/>
      <c r="T78" s="8"/>
      <c r="U78" s="8"/>
      <c r="V78" s="8"/>
      <c r="W78" s="8"/>
      <c r="X78" s="8"/>
      <c r="Y78" s="8"/>
      <c r="Z78" s="8"/>
    </row>
    <row r="79" spans="1:26" ht="14.25" customHeight="1" x14ac:dyDescent="0.3">
      <c r="A79" s="8"/>
      <c r="B79" s="8"/>
      <c r="C79" s="8"/>
      <c r="D79" s="8"/>
      <c r="E79" s="8"/>
      <c r="F79" s="8"/>
      <c r="G79" s="8"/>
      <c r="H79" s="8"/>
      <c r="I79" s="89"/>
      <c r="J79" s="8"/>
      <c r="K79" s="8"/>
      <c r="L79" s="8"/>
      <c r="M79" s="8"/>
      <c r="N79" s="8"/>
      <c r="O79" s="8"/>
      <c r="P79" s="8"/>
      <c r="Q79" s="8"/>
      <c r="R79" s="8"/>
      <c r="S79" s="8"/>
      <c r="T79" s="8"/>
      <c r="U79" s="8"/>
      <c r="V79" s="8"/>
      <c r="W79" s="8"/>
      <c r="X79" s="8"/>
      <c r="Y79" s="8"/>
      <c r="Z79" s="8"/>
    </row>
    <row r="80" spans="1:26" ht="14.25" customHeight="1" x14ac:dyDescent="0.3">
      <c r="A80" s="8"/>
      <c r="B80" s="8"/>
      <c r="C80" s="8"/>
      <c r="D80" s="8"/>
      <c r="E80" s="8"/>
      <c r="F80" s="8"/>
      <c r="G80" s="8"/>
      <c r="H80" s="8"/>
      <c r="I80" s="89"/>
      <c r="J80" s="8"/>
      <c r="K80" s="8"/>
      <c r="L80" s="8"/>
      <c r="M80" s="8"/>
      <c r="N80" s="8"/>
      <c r="O80" s="8"/>
      <c r="P80" s="8"/>
      <c r="Q80" s="8"/>
      <c r="R80" s="8"/>
      <c r="S80" s="8"/>
      <c r="T80" s="8"/>
      <c r="U80" s="8"/>
      <c r="V80" s="8"/>
      <c r="W80" s="8"/>
      <c r="X80" s="8"/>
      <c r="Y80" s="8"/>
      <c r="Z80" s="8"/>
    </row>
    <row r="81" spans="1:26" ht="14.25" customHeight="1" x14ac:dyDescent="0.3">
      <c r="A81" s="8"/>
      <c r="B81" s="8"/>
      <c r="C81" s="8"/>
      <c r="D81" s="8"/>
      <c r="E81" s="8"/>
      <c r="F81" s="8"/>
      <c r="G81" s="8"/>
      <c r="H81" s="8"/>
      <c r="I81" s="89"/>
      <c r="J81" s="8"/>
      <c r="K81" s="8"/>
      <c r="L81" s="8"/>
      <c r="M81" s="8"/>
      <c r="N81" s="8"/>
      <c r="O81" s="8"/>
      <c r="P81" s="8"/>
      <c r="Q81" s="8"/>
      <c r="R81" s="8"/>
      <c r="S81" s="8"/>
      <c r="T81" s="8"/>
      <c r="U81" s="8"/>
      <c r="V81" s="8"/>
      <c r="W81" s="8"/>
      <c r="X81" s="8"/>
      <c r="Y81" s="8"/>
      <c r="Z81" s="8"/>
    </row>
    <row r="82" spans="1:26" ht="14.25" customHeight="1" x14ac:dyDescent="0.3">
      <c r="A82" s="8"/>
      <c r="B82" s="8"/>
      <c r="C82" s="8"/>
      <c r="D82" s="8"/>
      <c r="E82" s="8"/>
      <c r="F82" s="8"/>
      <c r="G82" s="8"/>
      <c r="H82" s="8"/>
      <c r="I82" s="89"/>
      <c r="J82" s="8"/>
      <c r="K82" s="8"/>
      <c r="L82" s="8"/>
      <c r="M82" s="8"/>
      <c r="N82" s="8"/>
      <c r="O82" s="8"/>
      <c r="P82" s="8"/>
      <c r="Q82" s="8"/>
      <c r="R82" s="8"/>
      <c r="S82" s="8"/>
      <c r="T82" s="8"/>
      <c r="U82" s="8"/>
      <c r="V82" s="8"/>
      <c r="W82" s="8"/>
      <c r="X82" s="8"/>
      <c r="Y82" s="8"/>
      <c r="Z82" s="8"/>
    </row>
    <row r="83" spans="1:26" ht="14.25" customHeight="1" x14ac:dyDescent="0.3">
      <c r="A83" s="8"/>
      <c r="B83" s="8"/>
      <c r="C83" s="8"/>
      <c r="D83" s="8"/>
      <c r="E83" s="8"/>
      <c r="F83" s="8"/>
      <c r="G83" s="8"/>
      <c r="H83" s="8"/>
      <c r="I83" s="89"/>
      <c r="J83" s="8"/>
      <c r="K83" s="8"/>
      <c r="L83" s="8"/>
      <c r="M83" s="8"/>
      <c r="N83" s="8"/>
      <c r="O83" s="8"/>
      <c r="P83" s="8"/>
      <c r="Q83" s="8"/>
      <c r="R83" s="8"/>
      <c r="S83" s="8"/>
      <c r="T83" s="8"/>
      <c r="U83" s="8"/>
      <c r="V83" s="8"/>
      <c r="W83" s="8"/>
      <c r="X83" s="8"/>
      <c r="Y83" s="8"/>
      <c r="Z83" s="8"/>
    </row>
    <row r="84" spans="1:26" ht="14.25" customHeight="1" x14ac:dyDescent="0.3">
      <c r="A84" s="8"/>
      <c r="B84" s="8"/>
      <c r="C84" s="8"/>
      <c r="D84" s="8"/>
      <c r="E84" s="8"/>
      <c r="F84" s="8"/>
      <c r="G84" s="8"/>
      <c r="H84" s="8"/>
      <c r="I84" s="89"/>
      <c r="J84" s="8"/>
      <c r="K84" s="8"/>
      <c r="L84" s="8"/>
      <c r="M84" s="8"/>
      <c r="N84" s="8"/>
      <c r="O84" s="8"/>
      <c r="P84" s="8"/>
      <c r="Q84" s="8"/>
      <c r="R84" s="8"/>
      <c r="S84" s="8"/>
      <c r="T84" s="8"/>
      <c r="U84" s="8"/>
      <c r="V84" s="8"/>
      <c r="W84" s="8"/>
      <c r="X84" s="8"/>
      <c r="Y84" s="8"/>
      <c r="Z84" s="8"/>
    </row>
    <row r="85" spans="1:26" ht="14.25" customHeight="1" x14ac:dyDescent="0.3">
      <c r="A85" s="8"/>
      <c r="B85" s="8"/>
      <c r="C85" s="8"/>
      <c r="D85" s="8"/>
      <c r="E85" s="8"/>
      <c r="F85" s="8"/>
      <c r="G85" s="8"/>
      <c r="H85" s="8"/>
      <c r="I85" s="89"/>
      <c r="J85" s="8"/>
      <c r="K85" s="8"/>
      <c r="L85" s="8"/>
      <c r="M85" s="8"/>
      <c r="N85" s="8"/>
      <c r="O85" s="8"/>
      <c r="P85" s="8"/>
      <c r="Q85" s="8"/>
      <c r="R85" s="8"/>
      <c r="S85" s="8"/>
      <c r="T85" s="8"/>
      <c r="U85" s="8"/>
      <c r="V85" s="8"/>
      <c r="W85" s="8"/>
      <c r="X85" s="8"/>
      <c r="Y85" s="8"/>
      <c r="Z85" s="8"/>
    </row>
    <row r="86" spans="1:26" ht="14.25" customHeight="1" x14ac:dyDescent="0.3">
      <c r="A86" s="8"/>
      <c r="B86" s="8"/>
      <c r="C86" s="8"/>
      <c r="D86" s="8"/>
      <c r="E86" s="8"/>
      <c r="F86" s="8"/>
      <c r="G86" s="8"/>
      <c r="H86" s="8"/>
      <c r="I86" s="89"/>
      <c r="J86" s="8"/>
      <c r="K86" s="8"/>
      <c r="L86" s="8"/>
      <c r="M86" s="8"/>
      <c r="N86" s="8"/>
      <c r="O86" s="8"/>
      <c r="P86" s="8"/>
      <c r="Q86" s="8"/>
      <c r="R86" s="8"/>
      <c r="S86" s="8"/>
      <c r="T86" s="8"/>
      <c r="U86" s="8"/>
      <c r="V86" s="8"/>
      <c r="W86" s="8"/>
      <c r="X86" s="8"/>
      <c r="Y86" s="8"/>
      <c r="Z86" s="8"/>
    </row>
    <row r="87" spans="1:26" ht="14.25" customHeight="1" x14ac:dyDescent="0.3">
      <c r="A87" s="8"/>
      <c r="B87" s="8"/>
      <c r="C87" s="8"/>
      <c r="D87" s="8"/>
      <c r="E87" s="8"/>
      <c r="F87" s="8"/>
      <c r="G87" s="8"/>
      <c r="H87" s="8"/>
      <c r="I87" s="89"/>
      <c r="J87" s="8"/>
      <c r="K87" s="8"/>
      <c r="L87" s="8"/>
      <c r="M87" s="8"/>
      <c r="N87" s="8"/>
      <c r="O87" s="8"/>
      <c r="P87" s="8"/>
      <c r="Q87" s="8"/>
      <c r="R87" s="8"/>
      <c r="S87" s="8"/>
      <c r="T87" s="8"/>
      <c r="U87" s="8"/>
      <c r="V87" s="8"/>
      <c r="W87" s="8"/>
      <c r="X87" s="8"/>
      <c r="Y87" s="8"/>
      <c r="Z87" s="8"/>
    </row>
    <row r="88" spans="1:26" ht="14.25" customHeight="1" x14ac:dyDescent="0.3">
      <c r="A88" s="8"/>
      <c r="B88" s="8"/>
      <c r="C88" s="8"/>
      <c r="D88" s="8"/>
      <c r="E88" s="8"/>
      <c r="F88" s="8"/>
      <c r="G88" s="8"/>
      <c r="H88" s="8"/>
      <c r="I88" s="89"/>
      <c r="J88" s="8"/>
      <c r="K88" s="8"/>
      <c r="L88" s="8"/>
      <c r="M88" s="8"/>
      <c r="N88" s="8"/>
      <c r="O88" s="8"/>
      <c r="P88" s="8"/>
      <c r="Q88" s="8"/>
      <c r="R88" s="8"/>
      <c r="S88" s="8"/>
      <c r="T88" s="8"/>
      <c r="U88" s="8"/>
      <c r="V88" s="8"/>
      <c r="W88" s="8"/>
      <c r="X88" s="8"/>
      <c r="Y88" s="8"/>
      <c r="Z88" s="8"/>
    </row>
    <row r="89" spans="1:26" ht="14.25" customHeight="1" x14ac:dyDescent="0.3">
      <c r="A89" s="8"/>
      <c r="B89" s="8"/>
      <c r="C89" s="8"/>
      <c r="D89" s="8"/>
      <c r="E89" s="8"/>
      <c r="F89" s="8"/>
      <c r="G89" s="8"/>
      <c r="H89" s="8"/>
      <c r="I89" s="89"/>
      <c r="J89" s="8"/>
      <c r="K89" s="8"/>
      <c r="L89" s="8"/>
      <c r="M89" s="8"/>
      <c r="N89" s="8"/>
      <c r="O89" s="8"/>
      <c r="P89" s="8"/>
      <c r="Q89" s="8"/>
      <c r="R89" s="8"/>
      <c r="S89" s="8"/>
      <c r="T89" s="8"/>
      <c r="U89" s="8"/>
      <c r="V89" s="8"/>
      <c r="W89" s="8"/>
      <c r="X89" s="8"/>
      <c r="Y89" s="8"/>
      <c r="Z89" s="8"/>
    </row>
    <row r="90" spans="1:26" ht="14.25" customHeight="1" x14ac:dyDescent="0.3">
      <c r="A90" s="8"/>
      <c r="B90" s="8"/>
      <c r="C90" s="8"/>
      <c r="D90" s="8"/>
      <c r="E90" s="8"/>
      <c r="F90" s="8"/>
      <c r="G90" s="8"/>
      <c r="H90" s="8"/>
      <c r="I90" s="89"/>
      <c r="J90" s="8"/>
      <c r="K90" s="8"/>
      <c r="L90" s="8"/>
      <c r="M90" s="8"/>
      <c r="N90" s="8"/>
      <c r="O90" s="8"/>
      <c r="P90" s="8"/>
      <c r="Q90" s="8"/>
      <c r="R90" s="8"/>
      <c r="S90" s="8"/>
      <c r="T90" s="8"/>
      <c r="U90" s="8"/>
      <c r="V90" s="8"/>
      <c r="W90" s="8"/>
      <c r="X90" s="8"/>
      <c r="Y90" s="8"/>
      <c r="Z90" s="8"/>
    </row>
    <row r="91" spans="1:26" ht="14.25" customHeight="1" x14ac:dyDescent="0.3">
      <c r="A91" s="8"/>
      <c r="B91" s="8"/>
      <c r="C91" s="8"/>
      <c r="D91" s="8"/>
      <c r="E91" s="8"/>
      <c r="F91" s="8"/>
      <c r="G91" s="8"/>
      <c r="H91" s="8"/>
      <c r="I91" s="89"/>
      <c r="J91" s="8"/>
      <c r="K91" s="8"/>
      <c r="L91" s="8"/>
      <c r="M91" s="8"/>
      <c r="N91" s="8"/>
      <c r="O91" s="8"/>
      <c r="P91" s="8"/>
      <c r="Q91" s="8"/>
      <c r="R91" s="8"/>
      <c r="S91" s="8"/>
      <c r="T91" s="8"/>
      <c r="U91" s="8"/>
      <c r="V91" s="8"/>
      <c r="W91" s="8"/>
      <c r="X91" s="8"/>
      <c r="Y91" s="8"/>
      <c r="Z91" s="8"/>
    </row>
    <row r="92" spans="1:26" ht="14.25" customHeight="1" x14ac:dyDescent="0.3">
      <c r="A92" s="8"/>
      <c r="B92" s="8"/>
      <c r="C92" s="8"/>
      <c r="D92" s="8"/>
      <c r="E92" s="8"/>
      <c r="F92" s="8"/>
      <c r="G92" s="8"/>
      <c r="H92" s="8"/>
      <c r="I92" s="89"/>
      <c r="J92" s="8"/>
      <c r="K92" s="8"/>
      <c r="L92" s="8"/>
      <c r="M92" s="8"/>
      <c r="N92" s="8"/>
      <c r="O92" s="8"/>
      <c r="P92" s="8"/>
      <c r="Q92" s="8"/>
      <c r="R92" s="8"/>
      <c r="S92" s="8"/>
      <c r="T92" s="8"/>
      <c r="U92" s="8"/>
      <c r="V92" s="8"/>
      <c r="W92" s="8"/>
      <c r="X92" s="8"/>
      <c r="Y92" s="8"/>
      <c r="Z92" s="8"/>
    </row>
    <row r="93" spans="1:26" ht="14.25" customHeight="1" x14ac:dyDescent="0.3">
      <c r="A93" s="8"/>
      <c r="B93" s="8"/>
      <c r="C93" s="8"/>
      <c r="D93" s="8"/>
      <c r="E93" s="8"/>
      <c r="F93" s="8"/>
      <c r="G93" s="8"/>
      <c r="H93" s="8"/>
      <c r="I93" s="89"/>
      <c r="J93" s="8"/>
      <c r="K93" s="8"/>
      <c r="L93" s="8"/>
      <c r="M93" s="8"/>
      <c r="N93" s="8"/>
      <c r="O93" s="8"/>
      <c r="P93" s="8"/>
      <c r="Q93" s="8"/>
      <c r="R93" s="8"/>
      <c r="S93" s="8"/>
      <c r="T93" s="8"/>
      <c r="U93" s="8"/>
      <c r="V93" s="8"/>
      <c r="W93" s="8"/>
      <c r="X93" s="8"/>
      <c r="Y93" s="8"/>
      <c r="Z93" s="8"/>
    </row>
    <row r="94" spans="1:26" ht="14.25" customHeight="1" x14ac:dyDescent="0.3">
      <c r="A94" s="8"/>
      <c r="B94" s="8"/>
      <c r="C94" s="8"/>
      <c r="D94" s="8"/>
      <c r="E94" s="8"/>
      <c r="F94" s="8"/>
      <c r="G94" s="8"/>
      <c r="H94" s="8"/>
      <c r="I94" s="89"/>
      <c r="J94" s="8"/>
      <c r="K94" s="8"/>
      <c r="L94" s="8"/>
      <c r="M94" s="8"/>
      <c r="N94" s="8"/>
      <c r="O94" s="8"/>
      <c r="P94" s="8"/>
      <c r="Q94" s="8"/>
      <c r="R94" s="8"/>
      <c r="S94" s="8"/>
      <c r="T94" s="8"/>
      <c r="U94" s="8"/>
      <c r="V94" s="8"/>
      <c r="W94" s="8"/>
      <c r="X94" s="8"/>
      <c r="Y94" s="8"/>
      <c r="Z94" s="8"/>
    </row>
    <row r="95" spans="1:26" ht="14.25" customHeight="1" x14ac:dyDescent="0.3">
      <c r="A95" s="8"/>
      <c r="B95" s="8"/>
      <c r="C95" s="8"/>
      <c r="D95" s="8"/>
      <c r="E95" s="8"/>
      <c r="F95" s="8"/>
      <c r="G95" s="8"/>
      <c r="H95" s="8"/>
      <c r="I95" s="89"/>
      <c r="J95" s="8"/>
      <c r="K95" s="8"/>
      <c r="L95" s="8"/>
      <c r="M95" s="8"/>
      <c r="N95" s="8"/>
      <c r="O95" s="8"/>
      <c r="P95" s="8"/>
      <c r="Q95" s="8"/>
      <c r="R95" s="8"/>
      <c r="S95" s="8"/>
      <c r="T95" s="8"/>
      <c r="U95" s="8"/>
      <c r="V95" s="8"/>
      <c r="W95" s="8"/>
      <c r="X95" s="8"/>
      <c r="Y95" s="8"/>
      <c r="Z95" s="8"/>
    </row>
    <row r="96" spans="1:26" ht="14.25" customHeight="1" x14ac:dyDescent="0.3">
      <c r="A96" s="8"/>
      <c r="B96" s="8"/>
      <c r="C96" s="8"/>
      <c r="D96" s="8"/>
      <c r="E96" s="8"/>
      <c r="F96" s="8"/>
      <c r="G96" s="8"/>
      <c r="H96" s="8"/>
      <c r="I96" s="89"/>
      <c r="J96" s="8"/>
      <c r="K96" s="8"/>
      <c r="L96" s="8"/>
      <c r="M96" s="8"/>
      <c r="N96" s="8"/>
      <c r="O96" s="8"/>
      <c r="P96" s="8"/>
      <c r="Q96" s="8"/>
      <c r="R96" s="8"/>
      <c r="S96" s="8"/>
      <c r="T96" s="8"/>
      <c r="U96" s="8"/>
      <c r="V96" s="8"/>
      <c r="W96" s="8"/>
      <c r="X96" s="8"/>
      <c r="Y96" s="8"/>
      <c r="Z96" s="8"/>
    </row>
    <row r="97" spans="1:26" ht="14.25" customHeight="1" x14ac:dyDescent="0.3">
      <c r="A97" s="8"/>
      <c r="B97" s="8"/>
      <c r="C97" s="8"/>
      <c r="D97" s="8"/>
      <c r="E97" s="8"/>
      <c r="F97" s="8"/>
      <c r="G97" s="8"/>
      <c r="H97" s="8"/>
      <c r="I97" s="89"/>
      <c r="J97" s="8"/>
      <c r="K97" s="8"/>
      <c r="L97" s="8"/>
      <c r="M97" s="8"/>
      <c r="N97" s="8"/>
      <c r="O97" s="8"/>
      <c r="P97" s="8"/>
      <c r="Q97" s="8"/>
      <c r="R97" s="8"/>
      <c r="S97" s="8"/>
      <c r="T97" s="8"/>
      <c r="U97" s="8"/>
      <c r="V97" s="8"/>
      <c r="W97" s="8"/>
      <c r="X97" s="8"/>
      <c r="Y97" s="8"/>
      <c r="Z97" s="8"/>
    </row>
    <row r="98" spans="1:26" ht="14.25" customHeight="1" x14ac:dyDescent="0.3">
      <c r="A98" s="8"/>
      <c r="B98" s="8"/>
      <c r="C98" s="8"/>
      <c r="D98" s="8"/>
      <c r="E98" s="8"/>
      <c r="F98" s="8"/>
      <c r="G98" s="8"/>
      <c r="H98" s="8"/>
      <c r="I98" s="89"/>
      <c r="J98" s="8"/>
      <c r="K98" s="8"/>
      <c r="L98" s="8"/>
      <c r="M98" s="8"/>
      <c r="N98" s="8"/>
      <c r="O98" s="8"/>
      <c r="P98" s="8"/>
      <c r="Q98" s="8"/>
      <c r="R98" s="8"/>
      <c r="S98" s="8"/>
      <c r="T98" s="8"/>
      <c r="U98" s="8"/>
      <c r="V98" s="8"/>
      <c r="W98" s="8"/>
      <c r="X98" s="8"/>
      <c r="Y98" s="8"/>
      <c r="Z98" s="8"/>
    </row>
    <row r="99" spans="1:26" ht="14.25" customHeight="1" x14ac:dyDescent="0.3">
      <c r="A99" s="8"/>
      <c r="B99" s="8"/>
      <c r="C99" s="8"/>
      <c r="D99" s="8"/>
      <c r="E99" s="8"/>
      <c r="F99" s="8"/>
      <c r="G99" s="8"/>
      <c r="H99" s="8"/>
      <c r="I99" s="89"/>
      <c r="J99" s="8"/>
      <c r="K99" s="8"/>
      <c r="L99" s="8"/>
      <c r="M99" s="8"/>
      <c r="N99" s="8"/>
      <c r="O99" s="8"/>
      <c r="P99" s="8"/>
      <c r="Q99" s="8"/>
      <c r="R99" s="8"/>
      <c r="S99" s="8"/>
      <c r="T99" s="8"/>
      <c r="U99" s="8"/>
      <c r="V99" s="8"/>
      <c r="W99" s="8"/>
      <c r="X99" s="8"/>
      <c r="Y99" s="8"/>
      <c r="Z99" s="8"/>
    </row>
    <row r="100" spans="1:26" ht="14.25" customHeight="1" x14ac:dyDescent="0.3">
      <c r="A100" s="8"/>
      <c r="B100" s="8"/>
      <c r="C100" s="8"/>
      <c r="D100" s="8"/>
      <c r="E100" s="8"/>
      <c r="F100" s="8"/>
      <c r="G100" s="8"/>
      <c r="H100" s="8"/>
      <c r="I100" s="89"/>
      <c r="J100" s="8"/>
      <c r="K100" s="8"/>
      <c r="L100" s="8"/>
      <c r="M100" s="8"/>
      <c r="N100" s="8"/>
      <c r="O100" s="8"/>
      <c r="P100" s="8"/>
      <c r="Q100" s="8"/>
      <c r="R100" s="8"/>
      <c r="S100" s="8"/>
      <c r="T100" s="8"/>
      <c r="U100" s="8"/>
      <c r="V100" s="8"/>
      <c r="W100" s="8"/>
      <c r="X100" s="8"/>
      <c r="Y100" s="8"/>
      <c r="Z100" s="8"/>
    </row>
    <row r="101" spans="1:26" ht="14.25" customHeight="1" x14ac:dyDescent="0.3">
      <c r="A101" s="8"/>
      <c r="B101" s="8"/>
      <c r="C101" s="8"/>
      <c r="D101" s="8"/>
      <c r="E101" s="8"/>
      <c r="F101" s="8"/>
      <c r="G101" s="8"/>
      <c r="H101" s="8"/>
      <c r="I101" s="89"/>
      <c r="J101" s="8"/>
      <c r="K101" s="8"/>
      <c r="L101" s="8"/>
      <c r="M101" s="8"/>
      <c r="N101" s="8"/>
      <c r="O101" s="8"/>
      <c r="P101" s="8"/>
      <c r="Q101" s="8"/>
      <c r="R101" s="8"/>
      <c r="S101" s="8"/>
      <c r="T101" s="8"/>
      <c r="U101" s="8"/>
      <c r="V101" s="8"/>
      <c r="W101" s="8"/>
      <c r="X101" s="8"/>
      <c r="Y101" s="8"/>
      <c r="Z101" s="8"/>
    </row>
    <row r="102" spans="1:26" ht="14.25" customHeight="1" x14ac:dyDescent="0.3">
      <c r="A102" s="8"/>
      <c r="B102" s="8"/>
      <c r="C102" s="8"/>
      <c r="D102" s="8"/>
      <c r="E102" s="8"/>
      <c r="F102" s="8"/>
      <c r="G102" s="8"/>
      <c r="H102" s="8"/>
      <c r="I102" s="89"/>
      <c r="J102" s="8"/>
      <c r="K102" s="8"/>
      <c r="L102" s="8"/>
      <c r="M102" s="8"/>
      <c r="N102" s="8"/>
      <c r="O102" s="8"/>
      <c r="P102" s="8"/>
      <c r="Q102" s="8"/>
      <c r="R102" s="8"/>
      <c r="S102" s="8"/>
      <c r="T102" s="8"/>
      <c r="U102" s="8"/>
      <c r="V102" s="8"/>
      <c r="W102" s="8"/>
      <c r="X102" s="8"/>
      <c r="Y102" s="8"/>
      <c r="Z102" s="8"/>
    </row>
    <row r="103" spans="1:26" ht="14.25" customHeight="1" x14ac:dyDescent="0.3">
      <c r="A103" s="8"/>
      <c r="B103" s="8"/>
      <c r="C103" s="8"/>
      <c r="D103" s="8"/>
      <c r="E103" s="8"/>
      <c r="F103" s="8"/>
      <c r="G103" s="8"/>
      <c r="H103" s="8"/>
      <c r="I103" s="89"/>
      <c r="J103" s="8"/>
      <c r="K103" s="8"/>
      <c r="L103" s="8"/>
      <c r="M103" s="8"/>
      <c r="N103" s="8"/>
      <c r="O103" s="8"/>
      <c r="P103" s="8"/>
      <c r="Q103" s="8"/>
      <c r="R103" s="8"/>
      <c r="S103" s="8"/>
      <c r="T103" s="8"/>
      <c r="U103" s="8"/>
      <c r="V103" s="8"/>
      <c r="W103" s="8"/>
      <c r="X103" s="8"/>
      <c r="Y103" s="8"/>
      <c r="Z103" s="8"/>
    </row>
    <row r="104" spans="1:26" ht="14.25" customHeight="1" x14ac:dyDescent="0.3">
      <c r="A104" s="8"/>
      <c r="B104" s="8"/>
      <c r="C104" s="8"/>
      <c r="D104" s="8"/>
      <c r="E104" s="8"/>
      <c r="F104" s="8"/>
      <c r="G104" s="8"/>
      <c r="H104" s="8"/>
      <c r="I104" s="89"/>
      <c r="J104" s="8"/>
      <c r="K104" s="8"/>
      <c r="L104" s="8"/>
      <c r="M104" s="8"/>
      <c r="N104" s="8"/>
      <c r="O104" s="8"/>
      <c r="P104" s="8"/>
      <c r="Q104" s="8"/>
      <c r="R104" s="8"/>
      <c r="S104" s="8"/>
      <c r="T104" s="8"/>
      <c r="U104" s="8"/>
      <c r="V104" s="8"/>
      <c r="W104" s="8"/>
      <c r="X104" s="8"/>
      <c r="Y104" s="8"/>
      <c r="Z104" s="8"/>
    </row>
    <row r="105" spans="1:26" ht="14.25" customHeight="1" x14ac:dyDescent="0.3">
      <c r="A105" s="8"/>
      <c r="B105" s="8"/>
      <c r="C105" s="8"/>
      <c r="D105" s="8"/>
      <c r="E105" s="8"/>
      <c r="F105" s="8"/>
      <c r="G105" s="8"/>
      <c r="H105" s="8"/>
      <c r="I105" s="89"/>
      <c r="J105" s="8"/>
      <c r="K105" s="8"/>
      <c r="L105" s="8"/>
      <c r="M105" s="8"/>
      <c r="N105" s="8"/>
      <c r="O105" s="8"/>
      <c r="P105" s="8"/>
      <c r="Q105" s="8"/>
      <c r="R105" s="8"/>
      <c r="S105" s="8"/>
      <c r="T105" s="8"/>
      <c r="U105" s="8"/>
      <c r="V105" s="8"/>
      <c r="W105" s="8"/>
      <c r="X105" s="8"/>
      <c r="Y105" s="8"/>
      <c r="Z105" s="8"/>
    </row>
    <row r="106" spans="1:26" ht="14.25" customHeight="1" x14ac:dyDescent="0.3">
      <c r="A106" s="8"/>
      <c r="B106" s="8"/>
      <c r="C106" s="8"/>
      <c r="D106" s="8"/>
      <c r="E106" s="8"/>
      <c r="F106" s="8"/>
      <c r="G106" s="8"/>
      <c r="H106" s="8"/>
      <c r="I106" s="89"/>
      <c r="J106" s="8"/>
      <c r="K106" s="8"/>
      <c r="L106" s="8"/>
      <c r="M106" s="8"/>
      <c r="N106" s="8"/>
      <c r="O106" s="8"/>
      <c r="P106" s="8"/>
      <c r="Q106" s="8"/>
      <c r="R106" s="8"/>
      <c r="S106" s="8"/>
      <c r="T106" s="8"/>
      <c r="U106" s="8"/>
      <c r="V106" s="8"/>
      <c r="W106" s="8"/>
      <c r="X106" s="8"/>
      <c r="Y106" s="8"/>
      <c r="Z106" s="8"/>
    </row>
    <row r="107" spans="1:26" ht="14.25" customHeight="1" x14ac:dyDescent="0.3">
      <c r="A107" s="8"/>
      <c r="B107" s="8"/>
      <c r="C107" s="8"/>
      <c r="D107" s="8"/>
      <c r="E107" s="8"/>
      <c r="F107" s="8"/>
      <c r="G107" s="8"/>
      <c r="H107" s="8"/>
      <c r="I107" s="89"/>
      <c r="J107" s="8"/>
      <c r="K107" s="8"/>
      <c r="L107" s="8"/>
      <c r="M107" s="8"/>
      <c r="N107" s="8"/>
      <c r="O107" s="8"/>
      <c r="P107" s="8"/>
      <c r="Q107" s="8"/>
      <c r="R107" s="8"/>
      <c r="S107" s="8"/>
      <c r="T107" s="8"/>
      <c r="U107" s="8"/>
      <c r="V107" s="8"/>
      <c r="W107" s="8"/>
      <c r="X107" s="8"/>
      <c r="Y107" s="8"/>
      <c r="Z107" s="8"/>
    </row>
    <row r="108" spans="1:26" ht="14.25" customHeight="1" x14ac:dyDescent="0.3">
      <c r="A108" s="8"/>
      <c r="B108" s="8"/>
      <c r="C108" s="8"/>
      <c r="D108" s="8"/>
      <c r="E108" s="8"/>
      <c r="F108" s="8"/>
      <c r="G108" s="8"/>
      <c r="H108" s="8"/>
      <c r="I108" s="89"/>
      <c r="J108" s="8"/>
      <c r="K108" s="8"/>
      <c r="L108" s="8"/>
      <c r="M108" s="8"/>
      <c r="N108" s="8"/>
      <c r="O108" s="8"/>
      <c r="P108" s="8"/>
      <c r="Q108" s="8"/>
      <c r="R108" s="8"/>
      <c r="S108" s="8"/>
      <c r="T108" s="8"/>
      <c r="U108" s="8"/>
      <c r="V108" s="8"/>
      <c r="W108" s="8"/>
      <c r="X108" s="8"/>
      <c r="Y108" s="8"/>
      <c r="Z108" s="8"/>
    </row>
    <row r="109" spans="1:26" ht="14.25" customHeight="1" x14ac:dyDescent="0.3">
      <c r="A109" s="8"/>
      <c r="B109" s="8"/>
      <c r="C109" s="8"/>
      <c r="D109" s="8"/>
      <c r="E109" s="8"/>
      <c r="F109" s="8"/>
      <c r="G109" s="8"/>
      <c r="H109" s="8"/>
      <c r="I109" s="89"/>
      <c r="J109" s="8"/>
      <c r="K109" s="8"/>
      <c r="L109" s="8"/>
      <c r="M109" s="8"/>
      <c r="N109" s="8"/>
      <c r="O109" s="8"/>
      <c r="P109" s="8"/>
      <c r="Q109" s="8"/>
      <c r="R109" s="8"/>
      <c r="S109" s="8"/>
      <c r="T109" s="8"/>
      <c r="U109" s="8"/>
      <c r="V109" s="8"/>
      <c r="W109" s="8"/>
      <c r="X109" s="8"/>
      <c r="Y109" s="8"/>
      <c r="Z109" s="8"/>
    </row>
    <row r="110" spans="1:26" ht="14.25" customHeight="1" x14ac:dyDescent="0.3">
      <c r="A110" s="8"/>
      <c r="B110" s="8"/>
      <c r="C110" s="8"/>
      <c r="D110" s="8"/>
      <c r="E110" s="8"/>
      <c r="F110" s="8"/>
      <c r="G110" s="8"/>
      <c r="H110" s="8"/>
      <c r="I110" s="89"/>
      <c r="J110" s="8"/>
      <c r="K110" s="8"/>
      <c r="L110" s="8"/>
      <c r="M110" s="8"/>
      <c r="N110" s="8"/>
      <c r="O110" s="8"/>
      <c r="P110" s="8"/>
      <c r="Q110" s="8"/>
      <c r="R110" s="8"/>
      <c r="S110" s="8"/>
      <c r="T110" s="8"/>
      <c r="U110" s="8"/>
      <c r="V110" s="8"/>
      <c r="W110" s="8"/>
      <c r="X110" s="8"/>
      <c r="Y110" s="8"/>
      <c r="Z110" s="8"/>
    </row>
    <row r="111" spans="1:26" ht="14.25" customHeight="1" x14ac:dyDescent="0.3">
      <c r="A111" s="8"/>
      <c r="B111" s="8"/>
      <c r="C111" s="8"/>
      <c r="D111" s="8"/>
      <c r="E111" s="8"/>
      <c r="F111" s="8"/>
      <c r="G111" s="8"/>
      <c r="H111" s="8"/>
      <c r="I111" s="89"/>
      <c r="J111" s="8"/>
      <c r="K111" s="8"/>
      <c r="L111" s="8"/>
      <c r="M111" s="8"/>
      <c r="N111" s="8"/>
      <c r="O111" s="8"/>
      <c r="P111" s="8"/>
      <c r="Q111" s="8"/>
      <c r="R111" s="8"/>
      <c r="S111" s="8"/>
      <c r="T111" s="8"/>
      <c r="U111" s="8"/>
      <c r="V111" s="8"/>
      <c r="W111" s="8"/>
      <c r="X111" s="8"/>
      <c r="Y111" s="8"/>
      <c r="Z111" s="8"/>
    </row>
    <row r="112" spans="1:26" ht="14.25" customHeight="1" x14ac:dyDescent="0.3">
      <c r="A112" s="8"/>
      <c r="B112" s="8"/>
      <c r="C112" s="8"/>
      <c r="D112" s="8"/>
      <c r="E112" s="8"/>
      <c r="F112" s="8"/>
      <c r="G112" s="8"/>
      <c r="H112" s="8"/>
      <c r="I112" s="89"/>
      <c r="J112" s="8"/>
      <c r="K112" s="8"/>
      <c r="L112" s="8"/>
      <c r="M112" s="8"/>
      <c r="N112" s="8"/>
      <c r="O112" s="8"/>
      <c r="P112" s="8"/>
      <c r="Q112" s="8"/>
      <c r="R112" s="8"/>
      <c r="S112" s="8"/>
      <c r="T112" s="8"/>
      <c r="U112" s="8"/>
      <c r="V112" s="8"/>
      <c r="W112" s="8"/>
      <c r="X112" s="8"/>
      <c r="Y112" s="8"/>
      <c r="Z112" s="8"/>
    </row>
    <row r="113" spans="1:26" ht="14.25" customHeight="1" x14ac:dyDescent="0.3">
      <c r="A113" s="8"/>
      <c r="B113" s="8"/>
      <c r="C113" s="8"/>
      <c r="D113" s="8"/>
      <c r="E113" s="8"/>
      <c r="F113" s="8"/>
      <c r="G113" s="8"/>
      <c r="H113" s="8"/>
      <c r="I113" s="89"/>
      <c r="J113" s="8"/>
      <c r="K113" s="8"/>
      <c r="L113" s="8"/>
      <c r="M113" s="8"/>
      <c r="N113" s="8"/>
      <c r="O113" s="8"/>
      <c r="P113" s="8"/>
      <c r="Q113" s="8"/>
      <c r="R113" s="8"/>
      <c r="S113" s="8"/>
      <c r="T113" s="8"/>
      <c r="U113" s="8"/>
      <c r="V113" s="8"/>
      <c r="W113" s="8"/>
      <c r="X113" s="8"/>
      <c r="Y113" s="8"/>
      <c r="Z113" s="8"/>
    </row>
    <row r="114" spans="1:26" ht="14.25" customHeight="1" x14ac:dyDescent="0.3">
      <c r="A114" s="8"/>
      <c r="B114" s="8"/>
      <c r="C114" s="8"/>
      <c r="D114" s="8"/>
      <c r="E114" s="8"/>
      <c r="F114" s="8"/>
      <c r="G114" s="8"/>
      <c r="H114" s="8"/>
      <c r="I114" s="89"/>
      <c r="J114" s="8"/>
      <c r="K114" s="8"/>
      <c r="L114" s="8"/>
      <c r="M114" s="8"/>
      <c r="N114" s="8"/>
      <c r="O114" s="8"/>
      <c r="P114" s="8"/>
      <c r="Q114" s="8"/>
      <c r="R114" s="8"/>
      <c r="S114" s="8"/>
      <c r="T114" s="8"/>
      <c r="U114" s="8"/>
      <c r="V114" s="8"/>
      <c r="W114" s="8"/>
      <c r="X114" s="8"/>
      <c r="Y114" s="8"/>
      <c r="Z114" s="8"/>
    </row>
    <row r="115" spans="1:26" ht="14.25" customHeight="1" x14ac:dyDescent="0.3">
      <c r="A115" s="8"/>
      <c r="B115" s="8"/>
      <c r="C115" s="8"/>
      <c r="D115" s="8"/>
      <c r="E115" s="8"/>
      <c r="F115" s="8"/>
      <c r="G115" s="8"/>
      <c r="H115" s="8"/>
      <c r="I115" s="89"/>
      <c r="J115" s="8"/>
      <c r="K115" s="8"/>
      <c r="L115" s="8"/>
      <c r="M115" s="8"/>
      <c r="N115" s="8"/>
      <c r="O115" s="8"/>
      <c r="P115" s="8"/>
      <c r="Q115" s="8"/>
      <c r="R115" s="8"/>
      <c r="S115" s="8"/>
      <c r="T115" s="8"/>
      <c r="U115" s="8"/>
      <c r="V115" s="8"/>
      <c r="W115" s="8"/>
      <c r="X115" s="8"/>
      <c r="Y115" s="8"/>
      <c r="Z115" s="8"/>
    </row>
    <row r="116" spans="1:26" ht="14.25" customHeight="1" x14ac:dyDescent="0.3">
      <c r="A116" s="8"/>
      <c r="B116" s="8"/>
      <c r="C116" s="8"/>
      <c r="D116" s="8"/>
      <c r="E116" s="8"/>
      <c r="F116" s="8"/>
      <c r="G116" s="8"/>
      <c r="H116" s="8"/>
      <c r="I116" s="89"/>
      <c r="J116" s="8"/>
      <c r="K116" s="8"/>
      <c r="L116" s="8"/>
      <c r="M116" s="8"/>
      <c r="N116" s="8"/>
      <c r="O116" s="8"/>
      <c r="P116" s="8"/>
      <c r="Q116" s="8"/>
      <c r="R116" s="8"/>
      <c r="S116" s="8"/>
      <c r="T116" s="8"/>
      <c r="U116" s="8"/>
      <c r="V116" s="8"/>
      <c r="W116" s="8"/>
      <c r="X116" s="8"/>
      <c r="Y116" s="8"/>
      <c r="Z116" s="8"/>
    </row>
    <row r="117" spans="1:26" ht="14.25" customHeight="1" x14ac:dyDescent="0.3">
      <c r="A117" s="8"/>
      <c r="B117" s="8"/>
      <c r="C117" s="8"/>
      <c r="D117" s="8"/>
      <c r="E117" s="8"/>
      <c r="F117" s="8"/>
      <c r="G117" s="8"/>
      <c r="H117" s="8"/>
      <c r="I117" s="89"/>
      <c r="J117" s="8"/>
      <c r="K117" s="8"/>
      <c r="L117" s="8"/>
      <c r="M117" s="8"/>
      <c r="N117" s="8"/>
      <c r="O117" s="8"/>
      <c r="P117" s="8"/>
      <c r="Q117" s="8"/>
      <c r="R117" s="8"/>
      <c r="S117" s="8"/>
      <c r="T117" s="8"/>
      <c r="U117" s="8"/>
      <c r="V117" s="8"/>
      <c r="W117" s="8"/>
      <c r="X117" s="8"/>
      <c r="Y117" s="8"/>
      <c r="Z117" s="8"/>
    </row>
    <row r="118" spans="1:26" ht="14.25" customHeight="1" x14ac:dyDescent="0.3">
      <c r="A118" s="8"/>
      <c r="B118" s="8"/>
      <c r="C118" s="8"/>
      <c r="D118" s="8"/>
      <c r="E118" s="8"/>
      <c r="F118" s="8"/>
      <c r="G118" s="8"/>
      <c r="H118" s="8"/>
      <c r="I118" s="89"/>
      <c r="J118" s="8"/>
      <c r="K118" s="8"/>
      <c r="L118" s="8"/>
      <c r="M118" s="8"/>
      <c r="N118" s="8"/>
      <c r="O118" s="8"/>
      <c r="P118" s="8"/>
      <c r="Q118" s="8"/>
      <c r="R118" s="8"/>
      <c r="S118" s="8"/>
      <c r="T118" s="8"/>
      <c r="U118" s="8"/>
      <c r="V118" s="8"/>
      <c r="W118" s="8"/>
      <c r="X118" s="8"/>
      <c r="Y118" s="8"/>
      <c r="Z118" s="8"/>
    </row>
    <row r="119" spans="1:26" ht="14.25" customHeight="1" x14ac:dyDescent="0.3">
      <c r="A119" s="8"/>
      <c r="B119" s="8"/>
      <c r="C119" s="8"/>
      <c r="D119" s="8"/>
      <c r="E119" s="8"/>
      <c r="F119" s="8"/>
      <c r="G119" s="8"/>
      <c r="H119" s="8"/>
      <c r="I119" s="89"/>
      <c r="J119" s="8"/>
      <c r="K119" s="8"/>
      <c r="L119" s="8"/>
      <c r="M119" s="8"/>
      <c r="N119" s="8"/>
      <c r="O119" s="8"/>
      <c r="P119" s="8"/>
      <c r="Q119" s="8"/>
      <c r="R119" s="8"/>
      <c r="S119" s="8"/>
      <c r="T119" s="8"/>
      <c r="U119" s="8"/>
      <c r="V119" s="8"/>
      <c r="W119" s="8"/>
      <c r="X119" s="8"/>
      <c r="Y119" s="8"/>
      <c r="Z119" s="8"/>
    </row>
    <row r="120" spans="1:26" ht="14.25" customHeight="1" x14ac:dyDescent="0.3">
      <c r="A120" s="8"/>
      <c r="B120" s="8"/>
      <c r="C120" s="8"/>
      <c r="D120" s="8"/>
      <c r="E120" s="8"/>
      <c r="F120" s="8"/>
      <c r="G120" s="8"/>
      <c r="H120" s="8"/>
      <c r="I120" s="89"/>
      <c r="J120" s="8"/>
      <c r="K120" s="8"/>
      <c r="L120" s="8"/>
      <c r="M120" s="8"/>
      <c r="N120" s="8"/>
      <c r="O120" s="8"/>
      <c r="P120" s="8"/>
      <c r="Q120" s="8"/>
      <c r="R120" s="8"/>
      <c r="S120" s="8"/>
      <c r="T120" s="8"/>
      <c r="U120" s="8"/>
      <c r="V120" s="8"/>
      <c r="W120" s="8"/>
      <c r="X120" s="8"/>
      <c r="Y120" s="8"/>
      <c r="Z120" s="8"/>
    </row>
    <row r="121" spans="1:26" ht="14.25" customHeight="1" x14ac:dyDescent="0.3">
      <c r="A121" s="8"/>
      <c r="B121" s="8"/>
      <c r="C121" s="8"/>
      <c r="D121" s="8"/>
      <c r="E121" s="8"/>
      <c r="F121" s="8"/>
      <c r="G121" s="8"/>
      <c r="H121" s="8"/>
      <c r="I121" s="89"/>
      <c r="J121" s="8"/>
      <c r="K121" s="8"/>
      <c r="L121" s="8"/>
      <c r="M121" s="8"/>
      <c r="N121" s="8"/>
      <c r="O121" s="8"/>
      <c r="P121" s="8"/>
      <c r="Q121" s="8"/>
      <c r="R121" s="8"/>
      <c r="S121" s="8"/>
      <c r="T121" s="8"/>
      <c r="U121" s="8"/>
      <c r="V121" s="8"/>
      <c r="W121" s="8"/>
      <c r="X121" s="8"/>
      <c r="Y121" s="8"/>
      <c r="Z121" s="8"/>
    </row>
    <row r="122" spans="1:26" ht="14.25" customHeight="1" x14ac:dyDescent="0.3">
      <c r="A122" s="8"/>
      <c r="B122" s="8"/>
      <c r="C122" s="8"/>
      <c r="D122" s="8"/>
      <c r="E122" s="8"/>
      <c r="F122" s="8"/>
      <c r="G122" s="8"/>
      <c r="H122" s="8"/>
      <c r="I122" s="89"/>
      <c r="J122" s="8"/>
      <c r="K122" s="8"/>
      <c r="L122" s="8"/>
      <c r="M122" s="8"/>
      <c r="N122" s="8"/>
      <c r="O122" s="8"/>
      <c r="P122" s="8"/>
      <c r="Q122" s="8"/>
      <c r="R122" s="8"/>
      <c r="S122" s="8"/>
      <c r="T122" s="8"/>
      <c r="U122" s="8"/>
      <c r="V122" s="8"/>
      <c r="W122" s="8"/>
      <c r="X122" s="8"/>
      <c r="Y122" s="8"/>
      <c r="Z122" s="8"/>
    </row>
    <row r="123" spans="1:26" ht="14.25" customHeight="1" x14ac:dyDescent="0.3">
      <c r="A123" s="8"/>
      <c r="B123" s="8"/>
      <c r="C123" s="8"/>
      <c r="D123" s="8"/>
      <c r="E123" s="8"/>
      <c r="F123" s="8"/>
      <c r="G123" s="8"/>
      <c r="H123" s="8"/>
      <c r="I123" s="89"/>
      <c r="J123" s="8"/>
      <c r="K123" s="8"/>
      <c r="L123" s="8"/>
      <c r="M123" s="8"/>
      <c r="N123" s="8"/>
      <c r="O123" s="8"/>
      <c r="P123" s="8"/>
      <c r="Q123" s="8"/>
      <c r="R123" s="8"/>
      <c r="S123" s="8"/>
      <c r="T123" s="8"/>
      <c r="U123" s="8"/>
      <c r="V123" s="8"/>
      <c r="W123" s="8"/>
      <c r="X123" s="8"/>
      <c r="Y123" s="8"/>
      <c r="Z123" s="8"/>
    </row>
    <row r="124" spans="1:26" ht="14.25" customHeight="1" x14ac:dyDescent="0.3">
      <c r="A124" s="8"/>
      <c r="B124" s="8"/>
      <c r="C124" s="8"/>
      <c r="D124" s="8"/>
      <c r="E124" s="8"/>
      <c r="F124" s="8"/>
      <c r="G124" s="8"/>
      <c r="H124" s="8"/>
      <c r="I124" s="89"/>
      <c r="J124" s="8"/>
      <c r="K124" s="8"/>
      <c r="L124" s="8"/>
      <c r="M124" s="8"/>
      <c r="N124" s="8"/>
      <c r="O124" s="8"/>
      <c r="P124" s="8"/>
      <c r="Q124" s="8"/>
      <c r="R124" s="8"/>
      <c r="S124" s="8"/>
      <c r="T124" s="8"/>
      <c r="U124" s="8"/>
      <c r="V124" s="8"/>
      <c r="W124" s="8"/>
      <c r="X124" s="8"/>
      <c r="Y124" s="8"/>
      <c r="Z124" s="8"/>
    </row>
    <row r="125" spans="1:26" ht="14.25" customHeight="1" x14ac:dyDescent="0.3">
      <c r="A125" s="8"/>
      <c r="B125" s="8"/>
      <c r="C125" s="8"/>
      <c r="D125" s="8"/>
      <c r="E125" s="8"/>
      <c r="F125" s="8"/>
      <c r="G125" s="8"/>
      <c r="H125" s="8"/>
      <c r="I125" s="89"/>
      <c r="J125" s="8"/>
      <c r="K125" s="8"/>
      <c r="L125" s="8"/>
      <c r="M125" s="8"/>
      <c r="N125" s="8"/>
      <c r="O125" s="8"/>
      <c r="P125" s="8"/>
      <c r="Q125" s="8"/>
      <c r="R125" s="8"/>
      <c r="S125" s="8"/>
      <c r="T125" s="8"/>
      <c r="U125" s="8"/>
      <c r="V125" s="8"/>
      <c r="W125" s="8"/>
      <c r="X125" s="8"/>
      <c r="Y125" s="8"/>
      <c r="Z125" s="8"/>
    </row>
    <row r="126" spans="1:26" ht="14.25" customHeight="1" x14ac:dyDescent="0.3">
      <c r="A126" s="8"/>
      <c r="B126" s="8"/>
      <c r="C126" s="8"/>
      <c r="D126" s="8"/>
      <c r="E126" s="8"/>
      <c r="F126" s="8"/>
      <c r="G126" s="8"/>
      <c r="H126" s="8"/>
      <c r="I126" s="89"/>
      <c r="J126" s="8"/>
      <c r="K126" s="8"/>
      <c r="L126" s="8"/>
      <c r="M126" s="8"/>
      <c r="N126" s="8"/>
      <c r="O126" s="8"/>
      <c r="P126" s="8"/>
      <c r="Q126" s="8"/>
      <c r="R126" s="8"/>
      <c r="S126" s="8"/>
      <c r="T126" s="8"/>
      <c r="U126" s="8"/>
      <c r="V126" s="8"/>
      <c r="W126" s="8"/>
      <c r="X126" s="8"/>
      <c r="Y126" s="8"/>
      <c r="Z126" s="8"/>
    </row>
    <row r="127" spans="1:26" ht="14.25" customHeight="1" x14ac:dyDescent="0.3">
      <c r="A127" s="8"/>
      <c r="B127" s="8"/>
      <c r="C127" s="8"/>
      <c r="D127" s="8"/>
      <c r="E127" s="8"/>
      <c r="F127" s="8"/>
      <c r="G127" s="8"/>
      <c r="H127" s="8"/>
      <c r="I127" s="89"/>
      <c r="J127" s="8"/>
      <c r="K127" s="8"/>
      <c r="L127" s="8"/>
      <c r="M127" s="8"/>
      <c r="N127" s="8"/>
      <c r="O127" s="8"/>
      <c r="P127" s="8"/>
      <c r="Q127" s="8"/>
      <c r="R127" s="8"/>
      <c r="S127" s="8"/>
      <c r="T127" s="8"/>
      <c r="U127" s="8"/>
      <c r="V127" s="8"/>
      <c r="W127" s="8"/>
      <c r="X127" s="8"/>
      <c r="Y127" s="8"/>
      <c r="Z127" s="8"/>
    </row>
    <row r="128" spans="1:26" ht="14.25" customHeight="1" x14ac:dyDescent="0.3">
      <c r="A128" s="8"/>
      <c r="B128" s="8"/>
      <c r="C128" s="8"/>
      <c r="D128" s="8"/>
      <c r="E128" s="8"/>
      <c r="F128" s="8"/>
      <c r="G128" s="8"/>
      <c r="H128" s="8"/>
      <c r="I128" s="89"/>
      <c r="J128" s="8"/>
      <c r="K128" s="8"/>
      <c r="L128" s="8"/>
      <c r="M128" s="8"/>
      <c r="N128" s="8"/>
      <c r="O128" s="8"/>
      <c r="P128" s="8"/>
      <c r="Q128" s="8"/>
      <c r="R128" s="8"/>
      <c r="S128" s="8"/>
      <c r="T128" s="8"/>
      <c r="U128" s="8"/>
      <c r="V128" s="8"/>
      <c r="W128" s="8"/>
      <c r="X128" s="8"/>
      <c r="Y128" s="8"/>
      <c r="Z128" s="8"/>
    </row>
    <row r="129" spans="1:26" ht="14.25" customHeight="1" x14ac:dyDescent="0.3">
      <c r="A129" s="8"/>
      <c r="B129" s="8"/>
      <c r="C129" s="8"/>
      <c r="D129" s="8"/>
      <c r="E129" s="8"/>
      <c r="F129" s="8"/>
      <c r="G129" s="8"/>
      <c r="H129" s="8"/>
      <c r="I129" s="89"/>
      <c r="J129" s="8"/>
      <c r="K129" s="8"/>
      <c r="L129" s="8"/>
      <c r="M129" s="8"/>
      <c r="N129" s="8"/>
      <c r="O129" s="8"/>
      <c r="P129" s="8"/>
      <c r="Q129" s="8"/>
      <c r="R129" s="8"/>
      <c r="S129" s="8"/>
      <c r="T129" s="8"/>
      <c r="U129" s="8"/>
      <c r="V129" s="8"/>
      <c r="W129" s="8"/>
      <c r="X129" s="8"/>
      <c r="Y129" s="8"/>
      <c r="Z129" s="8"/>
    </row>
    <row r="130" spans="1:26" ht="14.25" customHeight="1" x14ac:dyDescent="0.3">
      <c r="A130" s="8"/>
      <c r="B130" s="8"/>
      <c r="C130" s="8"/>
      <c r="D130" s="8"/>
      <c r="E130" s="8"/>
      <c r="F130" s="8"/>
      <c r="G130" s="8"/>
      <c r="H130" s="8"/>
      <c r="I130" s="89"/>
      <c r="J130" s="8"/>
      <c r="K130" s="8"/>
      <c r="L130" s="8"/>
      <c r="M130" s="8"/>
      <c r="N130" s="8"/>
      <c r="O130" s="8"/>
      <c r="P130" s="8"/>
      <c r="Q130" s="8"/>
      <c r="R130" s="8"/>
      <c r="S130" s="8"/>
      <c r="T130" s="8"/>
      <c r="U130" s="8"/>
      <c r="V130" s="8"/>
      <c r="W130" s="8"/>
      <c r="X130" s="8"/>
      <c r="Y130" s="8"/>
      <c r="Z130" s="8"/>
    </row>
    <row r="131" spans="1:26" ht="14.25" customHeight="1" x14ac:dyDescent="0.3">
      <c r="A131" s="8"/>
      <c r="B131" s="8"/>
      <c r="C131" s="8"/>
      <c r="D131" s="8"/>
      <c r="E131" s="8"/>
      <c r="F131" s="8"/>
      <c r="G131" s="8"/>
      <c r="H131" s="8"/>
      <c r="I131" s="89"/>
      <c r="J131" s="8"/>
      <c r="K131" s="8"/>
      <c r="L131" s="8"/>
      <c r="M131" s="8"/>
      <c r="N131" s="8"/>
      <c r="O131" s="8"/>
      <c r="P131" s="8"/>
      <c r="Q131" s="8"/>
      <c r="R131" s="8"/>
      <c r="S131" s="8"/>
      <c r="T131" s="8"/>
      <c r="U131" s="8"/>
      <c r="V131" s="8"/>
      <c r="W131" s="8"/>
      <c r="X131" s="8"/>
      <c r="Y131" s="8"/>
      <c r="Z131" s="8"/>
    </row>
    <row r="132" spans="1:26" ht="14.25" customHeight="1" x14ac:dyDescent="0.3">
      <c r="A132" s="8"/>
      <c r="B132" s="8"/>
      <c r="C132" s="8"/>
      <c r="D132" s="8"/>
      <c r="E132" s="8"/>
      <c r="F132" s="8"/>
      <c r="G132" s="8"/>
      <c r="H132" s="8"/>
      <c r="I132" s="89"/>
      <c r="J132" s="8"/>
      <c r="K132" s="8"/>
      <c r="L132" s="8"/>
      <c r="M132" s="8"/>
      <c r="N132" s="8"/>
      <c r="O132" s="8"/>
      <c r="P132" s="8"/>
      <c r="Q132" s="8"/>
      <c r="R132" s="8"/>
      <c r="S132" s="8"/>
      <c r="T132" s="8"/>
      <c r="U132" s="8"/>
      <c r="V132" s="8"/>
      <c r="W132" s="8"/>
      <c r="X132" s="8"/>
      <c r="Y132" s="8"/>
      <c r="Z132" s="8"/>
    </row>
    <row r="133" spans="1:26" ht="14.25" customHeight="1" x14ac:dyDescent="0.3">
      <c r="A133" s="8"/>
      <c r="B133" s="8"/>
      <c r="C133" s="8"/>
      <c r="D133" s="8"/>
      <c r="E133" s="8"/>
      <c r="F133" s="8"/>
      <c r="G133" s="8"/>
      <c r="H133" s="8"/>
      <c r="I133" s="89"/>
      <c r="J133" s="8"/>
      <c r="K133" s="8"/>
      <c r="L133" s="8"/>
      <c r="M133" s="8"/>
      <c r="N133" s="8"/>
      <c r="O133" s="8"/>
      <c r="P133" s="8"/>
      <c r="Q133" s="8"/>
      <c r="R133" s="8"/>
      <c r="S133" s="8"/>
      <c r="T133" s="8"/>
      <c r="U133" s="8"/>
      <c r="V133" s="8"/>
      <c r="W133" s="8"/>
      <c r="X133" s="8"/>
      <c r="Y133" s="8"/>
      <c r="Z133" s="8"/>
    </row>
    <row r="134" spans="1:26" ht="14.25" customHeight="1" x14ac:dyDescent="0.3">
      <c r="A134" s="8"/>
      <c r="B134" s="8"/>
      <c r="C134" s="8"/>
      <c r="D134" s="8"/>
      <c r="E134" s="8"/>
      <c r="F134" s="8"/>
      <c r="G134" s="8"/>
      <c r="H134" s="8"/>
      <c r="I134" s="89"/>
      <c r="J134" s="8"/>
      <c r="K134" s="8"/>
      <c r="L134" s="8"/>
      <c r="M134" s="8"/>
      <c r="N134" s="8"/>
      <c r="O134" s="8"/>
      <c r="P134" s="8"/>
      <c r="Q134" s="8"/>
      <c r="R134" s="8"/>
      <c r="S134" s="8"/>
      <c r="T134" s="8"/>
      <c r="U134" s="8"/>
      <c r="V134" s="8"/>
      <c r="W134" s="8"/>
      <c r="X134" s="8"/>
      <c r="Y134" s="8"/>
      <c r="Z134" s="8"/>
    </row>
    <row r="135" spans="1:26" ht="14.25" customHeight="1" x14ac:dyDescent="0.3">
      <c r="A135" s="8"/>
      <c r="B135" s="8"/>
      <c r="C135" s="8"/>
      <c r="D135" s="8"/>
      <c r="E135" s="8"/>
      <c r="F135" s="8"/>
      <c r="G135" s="8"/>
      <c r="H135" s="8"/>
      <c r="I135" s="89"/>
      <c r="J135" s="8"/>
      <c r="K135" s="8"/>
      <c r="L135" s="8"/>
      <c r="M135" s="8"/>
      <c r="N135" s="8"/>
      <c r="O135" s="8"/>
      <c r="P135" s="8"/>
      <c r="Q135" s="8"/>
      <c r="R135" s="8"/>
      <c r="S135" s="8"/>
      <c r="T135" s="8"/>
      <c r="U135" s="8"/>
      <c r="V135" s="8"/>
      <c r="W135" s="8"/>
      <c r="X135" s="8"/>
      <c r="Y135" s="8"/>
      <c r="Z135" s="8"/>
    </row>
    <row r="136" spans="1:26" ht="14.25" customHeight="1" x14ac:dyDescent="0.3">
      <c r="A136" s="8"/>
      <c r="B136" s="8"/>
      <c r="C136" s="8"/>
      <c r="D136" s="8"/>
      <c r="E136" s="8"/>
      <c r="F136" s="8"/>
      <c r="G136" s="8"/>
      <c r="H136" s="8"/>
      <c r="I136" s="89"/>
      <c r="J136" s="8"/>
      <c r="K136" s="8"/>
      <c r="L136" s="8"/>
      <c r="M136" s="8"/>
      <c r="N136" s="8"/>
      <c r="O136" s="8"/>
      <c r="P136" s="8"/>
      <c r="Q136" s="8"/>
      <c r="R136" s="8"/>
      <c r="S136" s="8"/>
      <c r="T136" s="8"/>
      <c r="U136" s="8"/>
      <c r="V136" s="8"/>
      <c r="W136" s="8"/>
      <c r="X136" s="8"/>
      <c r="Y136" s="8"/>
      <c r="Z136" s="8"/>
    </row>
    <row r="137" spans="1:26" ht="14.25" customHeight="1" x14ac:dyDescent="0.3">
      <c r="A137" s="8"/>
      <c r="B137" s="8"/>
      <c r="C137" s="8"/>
      <c r="D137" s="8"/>
      <c r="E137" s="8"/>
      <c r="F137" s="8"/>
      <c r="G137" s="8"/>
      <c r="H137" s="8"/>
      <c r="I137" s="89"/>
      <c r="J137" s="8"/>
      <c r="K137" s="8"/>
      <c r="L137" s="8"/>
      <c r="M137" s="8"/>
      <c r="N137" s="8"/>
      <c r="O137" s="8"/>
      <c r="P137" s="8"/>
      <c r="Q137" s="8"/>
      <c r="R137" s="8"/>
      <c r="S137" s="8"/>
      <c r="T137" s="8"/>
      <c r="U137" s="8"/>
      <c r="V137" s="8"/>
      <c r="W137" s="8"/>
      <c r="X137" s="8"/>
      <c r="Y137" s="8"/>
      <c r="Z137" s="8"/>
    </row>
    <row r="138" spans="1:26" ht="14.25" customHeight="1" x14ac:dyDescent="0.3">
      <c r="A138" s="8"/>
      <c r="B138" s="8"/>
      <c r="C138" s="8"/>
      <c r="D138" s="8"/>
      <c r="E138" s="8"/>
      <c r="F138" s="8"/>
      <c r="G138" s="8"/>
      <c r="H138" s="8"/>
      <c r="I138" s="89"/>
      <c r="J138" s="8"/>
      <c r="K138" s="8"/>
      <c r="L138" s="8"/>
      <c r="M138" s="8"/>
      <c r="N138" s="8"/>
      <c r="O138" s="8"/>
      <c r="P138" s="8"/>
      <c r="Q138" s="8"/>
      <c r="R138" s="8"/>
      <c r="S138" s="8"/>
      <c r="T138" s="8"/>
      <c r="U138" s="8"/>
      <c r="V138" s="8"/>
      <c r="W138" s="8"/>
      <c r="X138" s="8"/>
      <c r="Y138" s="8"/>
      <c r="Z138" s="8"/>
    </row>
    <row r="139" spans="1:26" ht="14.25" customHeight="1" x14ac:dyDescent="0.3">
      <c r="A139" s="8"/>
      <c r="B139" s="8"/>
      <c r="C139" s="8"/>
      <c r="D139" s="8"/>
      <c r="E139" s="8"/>
      <c r="F139" s="8"/>
      <c r="G139" s="8"/>
      <c r="H139" s="8"/>
      <c r="I139" s="89"/>
      <c r="J139" s="8"/>
      <c r="K139" s="8"/>
      <c r="L139" s="8"/>
      <c r="M139" s="8"/>
      <c r="N139" s="8"/>
      <c r="O139" s="8"/>
      <c r="P139" s="8"/>
      <c r="Q139" s="8"/>
      <c r="R139" s="8"/>
      <c r="S139" s="8"/>
      <c r="T139" s="8"/>
      <c r="U139" s="8"/>
      <c r="V139" s="8"/>
      <c r="W139" s="8"/>
      <c r="X139" s="8"/>
      <c r="Y139" s="8"/>
      <c r="Z139" s="8"/>
    </row>
    <row r="140" spans="1:26" ht="14.25" customHeight="1" x14ac:dyDescent="0.3">
      <c r="A140" s="8"/>
      <c r="B140" s="8"/>
      <c r="C140" s="8"/>
      <c r="D140" s="8"/>
      <c r="E140" s="8"/>
      <c r="F140" s="8"/>
      <c r="G140" s="8"/>
      <c r="H140" s="8"/>
      <c r="I140" s="89"/>
      <c r="J140" s="8"/>
      <c r="K140" s="8"/>
      <c r="L140" s="8"/>
      <c r="M140" s="8"/>
      <c r="N140" s="8"/>
      <c r="O140" s="8"/>
      <c r="P140" s="8"/>
      <c r="Q140" s="8"/>
      <c r="R140" s="8"/>
      <c r="S140" s="8"/>
      <c r="T140" s="8"/>
      <c r="U140" s="8"/>
      <c r="V140" s="8"/>
      <c r="W140" s="8"/>
      <c r="X140" s="8"/>
      <c r="Y140" s="8"/>
      <c r="Z140" s="8"/>
    </row>
    <row r="141" spans="1:26" ht="14.25" customHeight="1" x14ac:dyDescent="0.3">
      <c r="A141" s="8"/>
      <c r="B141" s="8"/>
      <c r="C141" s="8"/>
      <c r="D141" s="8"/>
      <c r="E141" s="8"/>
      <c r="F141" s="8"/>
      <c r="G141" s="8"/>
      <c r="H141" s="8"/>
      <c r="I141" s="89"/>
      <c r="J141" s="8"/>
      <c r="K141" s="8"/>
      <c r="L141" s="8"/>
      <c r="M141" s="8"/>
      <c r="N141" s="8"/>
      <c r="O141" s="8"/>
      <c r="P141" s="8"/>
      <c r="Q141" s="8"/>
      <c r="R141" s="8"/>
      <c r="S141" s="8"/>
      <c r="T141" s="8"/>
      <c r="U141" s="8"/>
      <c r="V141" s="8"/>
      <c r="W141" s="8"/>
      <c r="X141" s="8"/>
      <c r="Y141" s="8"/>
      <c r="Z141" s="8"/>
    </row>
    <row r="142" spans="1:26" ht="14.25" customHeight="1" x14ac:dyDescent="0.3">
      <c r="A142" s="8"/>
      <c r="B142" s="8"/>
      <c r="C142" s="8"/>
      <c r="D142" s="8"/>
      <c r="E142" s="8"/>
      <c r="F142" s="8"/>
      <c r="G142" s="8"/>
      <c r="H142" s="8"/>
      <c r="I142" s="89"/>
      <c r="J142" s="8"/>
      <c r="K142" s="8"/>
      <c r="L142" s="8"/>
      <c r="M142" s="8"/>
      <c r="N142" s="8"/>
      <c r="O142" s="8"/>
      <c r="P142" s="8"/>
      <c r="Q142" s="8"/>
      <c r="R142" s="8"/>
      <c r="S142" s="8"/>
      <c r="T142" s="8"/>
      <c r="U142" s="8"/>
      <c r="V142" s="8"/>
      <c r="W142" s="8"/>
      <c r="X142" s="8"/>
      <c r="Y142" s="8"/>
      <c r="Z142" s="8"/>
    </row>
    <row r="143" spans="1:26" ht="14.25" customHeight="1" x14ac:dyDescent="0.3">
      <c r="A143" s="8"/>
      <c r="B143" s="8"/>
      <c r="C143" s="8"/>
      <c r="D143" s="8"/>
      <c r="E143" s="8"/>
      <c r="F143" s="8"/>
      <c r="G143" s="8"/>
      <c r="H143" s="8"/>
      <c r="I143" s="89"/>
      <c r="J143" s="8"/>
      <c r="K143" s="8"/>
      <c r="L143" s="8"/>
      <c r="M143" s="8"/>
      <c r="N143" s="8"/>
      <c r="O143" s="8"/>
      <c r="P143" s="8"/>
      <c r="Q143" s="8"/>
      <c r="R143" s="8"/>
      <c r="S143" s="8"/>
      <c r="T143" s="8"/>
      <c r="U143" s="8"/>
      <c r="V143" s="8"/>
      <c r="W143" s="8"/>
      <c r="X143" s="8"/>
      <c r="Y143" s="8"/>
      <c r="Z143" s="8"/>
    </row>
    <row r="144" spans="1:26" ht="14.25" customHeight="1" x14ac:dyDescent="0.3">
      <c r="A144" s="8"/>
      <c r="B144" s="8"/>
      <c r="C144" s="8"/>
      <c r="D144" s="8"/>
      <c r="E144" s="8"/>
      <c r="F144" s="8"/>
      <c r="G144" s="8"/>
      <c r="H144" s="8"/>
      <c r="I144" s="89"/>
      <c r="J144" s="8"/>
      <c r="K144" s="8"/>
      <c r="L144" s="8"/>
      <c r="M144" s="8"/>
      <c r="N144" s="8"/>
      <c r="O144" s="8"/>
      <c r="P144" s="8"/>
      <c r="Q144" s="8"/>
      <c r="R144" s="8"/>
      <c r="S144" s="8"/>
      <c r="T144" s="8"/>
      <c r="U144" s="8"/>
      <c r="V144" s="8"/>
      <c r="W144" s="8"/>
      <c r="X144" s="8"/>
      <c r="Y144" s="8"/>
      <c r="Z144" s="8"/>
    </row>
    <row r="145" spans="1:26" ht="14.25" customHeight="1" x14ac:dyDescent="0.3">
      <c r="A145" s="8"/>
      <c r="B145" s="8"/>
      <c r="C145" s="8"/>
      <c r="D145" s="8"/>
      <c r="E145" s="8"/>
      <c r="F145" s="8"/>
      <c r="G145" s="8"/>
      <c r="H145" s="8"/>
      <c r="I145" s="89"/>
      <c r="J145" s="8"/>
      <c r="K145" s="8"/>
      <c r="L145" s="8"/>
      <c r="M145" s="8"/>
      <c r="N145" s="8"/>
      <c r="O145" s="8"/>
      <c r="P145" s="8"/>
      <c r="Q145" s="8"/>
      <c r="R145" s="8"/>
      <c r="S145" s="8"/>
      <c r="T145" s="8"/>
      <c r="U145" s="8"/>
      <c r="V145" s="8"/>
      <c r="W145" s="8"/>
      <c r="X145" s="8"/>
      <c r="Y145" s="8"/>
      <c r="Z145" s="8"/>
    </row>
    <row r="146" spans="1:26" ht="14.25" customHeight="1" x14ac:dyDescent="0.3">
      <c r="A146" s="8"/>
      <c r="B146" s="8"/>
      <c r="C146" s="8"/>
      <c r="D146" s="8"/>
      <c r="E146" s="8"/>
      <c r="F146" s="8"/>
      <c r="G146" s="8"/>
      <c r="H146" s="8"/>
      <c r="I146" s="89"/>
      <c r="J146" s="8"/>
      <c r="K146" s="8"/>
      <c r="L146" s="8"/>
      <c r="M146" s="8"/>
      <c r="N146" s="8"/>
      <c r="O146" s="8"/>
      <c r="P146" s="8"/>
      <c r="Q146" s="8"/>
      <c r="R146" s="8"/>
      <c r="S146" s="8"/>
      <c r="T146" s="8"/>
      <c r="U146" s="8"/>
      <c r="V146" s="8"/>
      <c r="W146" s="8"/>
      <c r="X146" s="8"/>
      <c r="Y146" s="8"/>
      <c r="Z146" s="8"/>
    </row>
    <row r="147" spans="1:26" ht="14.25" customHeight="1" x14ac:dyDescent="0.3">
      <c r="A147" s="8"/>
      <c r="B147" s="8"/>
      <c r="C147" s="8"/>
      <c r="D147" s="8"/>
      <c r="E147" s="8"/>
      <c r="F147" s="8"/>
      <c r="G147" s="8"/>
      <c r="H147" s="8"/>
      <c r="I147" s="89"/>
      <c r="J147" s="8"/>
      <c r="K147" s="8"/>
      <c r="L147" s="8"/>
      <c r="M147" s="8"/>
      <c r="N147" s="8"/>
      <c r="O147" s="8"/>
      <c r="P147" s="8"/>
      <c r="Q147" s="8"/>
      <c r="R147" s="8"/>
      <c r="S147" s="8"/>
      <c r="T147" s="8"/>
      <c r="U147" s="8"/>
      <c r="V147" s="8"/>
      <c r="W147" s="8"/>
      <c r="X147" s="8"/>
      <c r="Y147" s="8"/>
      <c r="Z147" s="8"/>
    </row>
    <row r="148" spans="1:26" ht="14.25" customHeight="1" x14ac:dyDescent="0.3">
      <c r="A148" s="8"/>
      <c r="B148" s="8"/>
      <c r="C148" s="8"/>
      <c r="D148" s="8"/>
      <c r="E148" s="8"/>
      <c r="F148" s="8"/>
      <c r="G148" s="8"/>
      <c r="H148" s="8"/>
      <c r="I148" s="89"/>
      <c r="J148" s="8"/>
      <c r="K148" s="8"/>
      <c r="L148" s="8"/>
      <c r="M148" s="8"/>
      <c r="N148" s="8"/>
      <c r="O148" s="8"/>
      <c r="P148" s="8"/>
      <c r="Q148" s="8"/>
      <c r="R148" s="8"/>
      <c r="S148" s="8"/>
      <c r="T148" s="8"/>
      <c r="U148" s="8"/>
      <c r="V148" s="8"/>
      <c r="W148" s="8"/>
      <c r="X148" s="8"/>
      <c r="Y148" s="8"/>
      <c r="Z148" s="8"/>
    </row>
    <row r="149" spans="1:26" ht="14.25" customHeight="1" x14ac:dyDescent="0.3">
      <c r="A149" s="8"/>
      <c r="B149" s="8"/>
      <c r="C149" s="8"/>
      <c r="D149" s="8"/>
      <c r="E149" s="8"/>
      <c r="F149" s="8"/>
      <c r="G149" s="8"/>
      <c r="H149" s="8"/>
      <c r="I149" s="89"/>
      <c r="J149" s="8"/>
      <c r="K149" s="8"/>
      <c r="L149" s="8"/>
      <c r="M149" s="8"/>
      <c r="N149" s="8"/>
      <c r="O149" s="8"/>
      <c r="P149" s="8"/>
      <c r="Q149" s="8"/>
      <c r="R149" s="8"/>
      <c r="S149" s="8"/>
      <c r="T149" s="8"/>
      <c r="U149" s="8"/>
      <c r="V149" s="8"/>
      <c r="W149" s="8"/>
      <c r="X149" s="8"/>
      <c r="Y149" s="8"/>
      <c r="Z149" s="8"/>
    </row>
    <row r="150" spans="1:26" ht="14.25" customHeight="1" x14ac:dyDescent="0.3">
      <c r="A150" s="8"/>
      <c r="B150" s="8"/>
      <c r="C150" s="8"/>
      <c r="D150" s="8"/>
      <c r="E150" s="8"/>
      <c r="F150" s="8"/>
      <c r="G150" s="8"/>
      <c r="H150" s="8"/>
      <c r="I150" s="89"/>
      <c r="J150" s="8"/>
      <c r="K150" s="8"/>
      <c r="L150" s="8"/>
      <c r="M150" s="8"/>
      <c r="N150" s="8"/>
      <c r="O150" s="8"/>
      <c r="P150" s="8"/>
      <c r="Q150" s="8"/>
      <c r="R150" s="8"/>
      <c r="S150" s="8"/>
      <c r="T150" s="8"/>
      <c r="U150" s="8"/>
      <c r="V150" s="8"/>
      <c r="W150" s="8"/>
      <c r="X150" s="8"/>
      <c r="Y150" s="8"/>
      <c r="Z150" s="8"/>
    </row>
    <row r="151" spans="1:26" ht="14.25" customHeight="1" x14ac:dyDescent="0.3">
      <c r="A151" s="8"/>
      <c r="B151" s="8"/>
      <c r="C151" s="8"/>
      <c r="D151" s="8"/>
      <c r="E151" s="8"/>
      <c r="F151" s="8"/>
      <c r="G151" s="8"/>
      <c r="H151" s="8"/>
      <c r="I151" s="89"/>
      <c r="J151" s="8"/>
      <c r="K151" s="8"/>
      <c r="L151" s="8"/>
      <c r="M151" s="8"/>
      <c r="N151" s="8"/>
      <c r="O151" s="8"/>
      <c r="P151" s="8"/>
      <c r="Q151" s="8"/>
      <c r="R151" s="8"/>
      <c r="S151" s="8"/>
      <c r="T151" s="8"/>
      <c r="U151" s="8"/>
      <c r="V151" s="8"/>
      <c r="W151" s="8"/>
      <c r="X151" s="8"/>
      <c r="Y151" s="8"/>
      <c r="Z151" s="8"/>
    </row>
    <row r="152" spans="1:26" ht="14.25" customHeight="1" x14ac:dyDescent="0.3">
      <c r="A152" s="8"/>
      <c r="B152" s="8"/>
      <c r="C152" s="8"/>
      <c r="D152" s="8"/>
      <c r="E152" s="8"/>
      <c r="F152" s="8"/>
      <c r="G152" s="8"/>
      <c r="H152" s="8"/>
      <c r="I152" s="89"/>
      <c r="J152" s="8"/>
      <c r="K152" s="8"/>
      <c r="L152" s="8"/>
      <c r="M152" s="8"/>
      <c r="N152" s="8"/>
      <c r="O152" s="8"/>
      <c r="P152" s="8"/>
      <c r="Q152" s="8"/>
      <c r="R152" s="8"/>
      <c r="S152" s="8"/>
      <c r="T152" s="8"/>
      <c r="U152" s="8"/>
      <c r="V152" s="8"/>
      <c r="W152" s="8"/>
      <c r="X152" s="8"/>
      <c r="Y152" s="8"/>
      <c r="Z152" s="8"/>
    </row>
    <row r="153" spans="1:26" ht="14.25" customHeight="1" x14ac:dyDescent="0.3">
      <c r="A153" s="8"/>
      <c r="B153" s="8"/>
      <c r="C153" s="8"/>
      <c r="D153" s="8"/>
      <c r="E153" s="8"/>
      <c r="F153" s="8"/>
      <c r="G153" s="8"/>
      <c r="H153" s="8"/>
      <c r="I153" s="89"/>
      <c r="J153" s="8"/>
      <c r="K153" s="8"/>
      <c r="L153" s="8"/>
      <c r="M153" s="8"/>
      <c r="N153" s="8"/>
      <c r="O153" s="8"/>
      <c r="P153" s="8"/>
      <c r="Q153" s="8"/>
      <c r="R153" s="8"/>
      <c r="S153" s="8"/>
      <c r="T153" s="8"/>
      <c r="U153" s="8"/>
      <c r="V153" s="8"/>
      <c r="W153" s="8"/>
      <c r="X153" s="8"/>
      <c r="Y153" s="8"/>
      <c r="Z153" s="8"/>
    </row>
    <row r="154" spans="1:26" ht="14.25" customHeight="1" x14ac:dyDescent="0.3">
      <c r="A154" s="8"/>
      <c r="B154" s="8"/>
      <c r="C154" s="8"/>
      <c r="D154" s="8"/>
      <c r="E154" s="8"/>
      <c r="F154" s="8"/>
      <c r="G154" s="8"/>
      <c r="H154" s="8"/>
      <c r="I154" s="89"/>
      <c r="J154" s="8"/>
      <c r="K154" s="8"/>
      <c r="L154" s="8"/>
      <c r="M154" s="8"/>
      <c r="N154" s="8"/>
      <c r="O154" s="8"/>
      <c r="P154" s="8"/>
      <c r="Q154" s="8"/>
      <c r="R154" s="8"/>
      <c r="S154" s="8"/>
      <c r="T154" s="8"/>
      <c r="U154" s="8"/>
      <c r="V154" s="8"/>
      <c r="W154" s="8"/>
      <c r="X154" s="8"/>
      <c r="Y154" s="8"/>
      <c r="Z154" s="8"/>
    </row>
    <row r="155" spans="1:26" ht="14.25" customHeight="1" x14ac:dyDescent="0.3">
      <c r="A155" s="8"/>
      <c r="B155" s="8"/>
      <c r="C155" s="8"/>
      <c r="D155" s="8"/>
      <c r="E155" s="8"/>
      <c r="F155" s="8"/>
      <c r="G155" s="8"/>
      <c r="H155" s="8"/>
      <c r="I155" s="89"/>
      <c r="J155" s="8"/>
      <c r="K155" s="8"/>
      <c r="L155" s="8"/>
      <c r="M155" s="8"/>
      <c r="N155" s="8"/>
      <c r="O155" s="8"/>
      <c r="P155" s="8"/>
      <c r="Q155" s="8"/>
      <c r="R155" s="8"/>
      <c r="S155" s="8"/>
      <c r="T155" s="8"/>
      <c r="U155" s="8"/>
      <c r="V155" s="8"/>
      <c r="W155" s="8"/>
      <c r="X155" s="8"/>
      <c r="Y155" s="8"/>
      <c r="Z155" s="8"/>
    </row>
    <row r="156" spans="1:26" ht="14.25" customHeight="1" x14ac:dyDescent="0.3">
      <c r="A156" s="8"/>
      <c r="B156" s="8"/>
      <c r="C156" s="8"/>
      <c r="D156" s="8"/>
      <c r="E156" s="8"/>
      <c r="F156" s="8"/>
      <c r="G156" s="8"/>
      <c r="H156" s="8"/>
      <c r="I156" s="89"/>
      <c r="J156" s="8"/>
      <c r="K156" s="8"/>
      <c r="L156" s="8"/>
      <c r="M156" s="8"/>
      <c r="N156" s="8"/>
      <c r="O156" s="8"/>
      <c r="P156" s="8"/>
      <c r="Q156" s="8"/>
      <c r="R156" s="8"/>
      <c r="S156" s="8"/>
      <c r="T156" s="8"/>
      <c r="U156" s="8"/>
      <c r="V156" s="8"/>
      <c r="W156" s="8"/>
      <c r="X156" s="8"/>
      <c r="Y156" s="8"/>
      <c r="Z156" s="8"/>
    </row>
    <row r="157" spans="1:26" ht="14.25" customHeight="1" x14ac:dyDescent="0.3">
      <c r="A157" s="8"/>
      <c r="B157" s="8"/>
      <c r="C157" s="8"/>
      <c r="D157" s="8"/>
      <c r="E157" s="8"/>
      <c r="F157" s="8"/>
      <c r="G157" s="8"/>
      <c r="H157" s="8"/>
      <c r="I157" s="89"/>
      <c r="J157" s="8"/>
      <c r="K157" s="8"/>
      <c r="L157" s="8"/>
      <c r="M157" s="8"/>
      <c r="N157" s="8"/>
      <c r="O157" s="8"/>
      <c r="P157" s="8"/>
      <c r="Q157" s="8"/>
      <c r="R157" s="8"/>
      <c r="S157" s="8"/>
      <c r="T157" s="8"/>
      <c r="U157" s="8"/>
      <c r="V157" s="8"/>
      <c r="W157" s="8"/>
      <c r="X157" s="8"/>
      <c r="Y157" s="8"/>
      <c r="Z157" s="8"/>
    </row>
    <row r="158" spans="1:26" ht="14.25" customHeight="1" x14ac:dyDescent="0.3">
      <c r="A158" s="8"/>
      <c r="B158" s="8"/>
      <c r="C158" s="8"/>
      <c r="D158" s="8"/>
      <c r="E158" s="8"/>
      <c r="F158" s="8"/>
      <c r="G158" s="8"/>
      <c r="H158" s="8"/>
      <c r="I158" s="89"/>
      <c r="J158" s="8"/>
      <c r="K158" s="8"/>
      <c r="L158" s="8"/>
      <c r="M158" s="8"/>
      <c r="N158" s="8"/>
      <c r="O158" s="8"/>
      <c r="P158" s="8"/>
      <c r="Q158" s="8"/>
      <c r="R158" s="8"/>
      <c r="S158" s="8"/>
      <c r="T158" s="8"/>
      <c r="U158" s="8"/>
      <c r="V158" s="8"/>
      <c r="W158" s="8"/>
      <c r="X158" s="8"/>
      <c r="Y158" s="8"/>
      <c r="Z158" s="8"/>
    </row>
    <row r="159" spans="1:26" ht="14.25" customHeight="1" x14ac:dyDescent="0.3">
      <c r="A159" s="8"/>
      <c r="B159" s="8"/>
      <c r="C159" s="8"/>
      <c r="D159" s="8"/>
      <c r="E159" s="8"/>
      <c r="F159" s="8"/>
      <c r="G159" s="8"/>
      <c r="H159" s="8"/>
      <c r="I159" s="89"/>
      <c r="J159" s="8"/>
      <c r="K159" s="8"/>
      <c r="L159" s="8"/>
      <c r="M159" s="8"/>
      <c r="N159" s="8"/>
      <c r="O159" s="8"/>
      <c r="P159" s="8"/>
      <c r="Q159" s="8"/>
      <c r="R159" s="8"/>
      <c r="S159" s="8"/>
      <c r="T159" s="8"/>
      <c r="U159" s="8"/>
      <c r="V159" s="8"/>
      <c r="W159" s="8"/>
      <c r="X159" s="8"/>
      <c r="Y159" s="8"/>
      <c r="Z159" s="8"/>
    </row>
    <row r="160" spans="1:26" ht="14.25" customHeight="1" x14ac:dyDescent="0.3">
      <c r="A160" s="8"/>
      <c r="B160" s="8"/>
      <c r="C160" s="8"/>
      <c r="D160" s="8"/>
      <c r="E160" s="8"/>
      <c r="F160" s="8"/>
      <c r="G160" s="8"/>
      <c r="H160" s="8"/>
      <c r="I160" s="89"/>
      <c r="J160" s="8"/>
      <c r="K160" s="8"/>
      <c r="L160" s="8"/>
      <c r="M160" s="8"/>
      <c r="N160" s="8"/>
      <c r="O160" s="8"/>
      <c r="P160" s="8"/>
      <c r="Q160" s="8"/>
      <c r="R160" s="8"/>
      <c r="S160" s="8"/>
      <c r="T160" s="8"/>
      <c r="U160" s="8"/>
      <c r="V160" s="8"/>
      <c r="W160" s="8"/>
      <c r="X160" s="8"/>
      <c r="Y160" s="8"/>
      <c r="Z160" s="8"/>
    </row>
    <row r="161" spans="1:26" ht="14.25" customHeight="1" x14ac:dyDescent="0.3">
      <c r="A161" s="8"/>
      <c r="B161" s="8"/>
      <c r="C161" s="8"/>
      <c r="D161" s="8"/>
      <c r="E161" s="8"/>
      <c r="F161" s="8"/>
      <c r="G161" s="8"/>
      <c r="H161" s="8"/>
      <c r="I161" s="89"/>
      <c r="J161" s="8"/>
      <c r="K161" s="8"/>
      <c r="L161" s="8"/>
      <c r="M161" s="8"/>
      <c r="N161" s="8"/>
      <c r="O161" s="8"/>
      <c r="P161" s="8"/>
      <c r="Q161" s="8"/>
      <c r="R161" s="8"/>
      <c r="S161" s="8"/>
      <c r="T161" s="8"/>
      <c r="U161" s="8"/>
      <c r="V161" s="8"/>
      <c r="W161" s="8"/>
      <c r="X161" s="8"/>
      <c r="Y161" s="8"/>
      <c r="Z161" s="8"/>
    </row>
    <row r="162" spans="1:26" ht="14.25" customHeight="1" x14ac:dyDescent="0.3">
      <c r="A162" s="8"/>
      <c r="B162" s="8"/>
      <c r="C162" s="8"/>
      <c r="D162" s="8"/>
      <c r="E162" s="8"/>
      <c r="F162" s="8"/>
      <c r="G162" s="8"/>
      <c r="H162" s="8"/>
      <c r="I162" s="89"/>
      <c r="J162" s="8"/>
      <c r="K162" s="8"/>
      <c r="L162" s="8"/>
      <c r="M162" s="8"/>
      <c r="N162" s="8"/>
      <c r="O162" s="8"/>
      <c r="P162" s="8"/>
      <c r="Q162" s="8"/>
      <c r="R162" s="8"/>
      <c r="S162" s="8"/>
      <c r="T162" s="8"/>
      <c r="U162" s="8"/>
      <c r="V162" s="8"/>
      <c r="W162" s="8"/>
      <c r="X162" s="8"/>
      <c r="Y162" s="8"/>
      <c r="Z162" s="8"/>
    </row>
    <row r="163" spans="1:26" ht="14.25" customHeight="1" x14ac:dyDescent="0.3">
      <c r="A163" s="8"/>
      <c r="B163" s="8"/>
      <c r="C163" s="8"/>
      <c r="D163" s="8"/>
      <c r="E163" s="8"/>
      <c r="F163" s="8"/>
      <c r="G163" s="8"/>
      <c r="H163" s="8"/>
      <c r="I163" s="89"/>
      <c r="J163" s="8"/>
      <c r="K163" s="8"/>
      <c r="L163" s="8"/>
      <c r="M163" s="8"/>
      <c r="N163" s="8"/>
      <c r="O163" s="8"/>
      <c r="P163" s="8"/>
      <c r="Q163" s="8"/>
      <c r="R163" s="8"/>
      <c r="S163" s="8"/>
      <c r="T163" s="8"/>
      <c r="U163" s="8"/>
      <c r="V163" s="8"/>
      <c r="W163" s="8"/>
      <c r="X163" s="8"/>
      <c r="Y163" s="8"/>
      <c r="Z163" s="8"/>
    </row>
    <row r="164" spans="1:26" ht="14.25" customHeight="1" x14ac:dyDescent="0.3">
      <c r="A164" s="8"/>
      <c r="B164" s="8"/>
      <c r="C164" s="8"/>
      <c r="D164" s="8"/>
      <c r="E164" s="8"/>
      <c r="F164" s="8"/>
      <c r="G164" s="8"/>
      <c r="H164" s="8"/>
      <c r="I164" s="89"/>
      <c r="J164" s="8"/>
      <c r="K164" s="8"/>
      <c r="L164" s="8"/>
      <c r="M164" s="8"/>
      <c r="N164" s="8"/>
      <c r="O164" s="8"/>
      <c r="P164" s="8"/>
      <c r="Q164" s="8"/>
      <c r="R164" s="8"/>
      <c r="S164" s="8"/>
      <c r="T164" s="8"/>
      <c r="U164" s="8"/>
      <c r="V164" s="8"/>
      <c r="W164" s="8"/>
      <c r="X164" s="8"/>
      <c r="Y164" s="8"/>
      <c r="Z164" s="8"/>
    </row>
    <row r="165" spans="1:26" ht="14.25" customHeight="1" x14ac:dyDescent="0.3">
      <c r="A165" s="8"/>
      <c r="B165" s="8"/>
      <c r="C165" s="8"/>
      <c r="D165" s="8"/>
      <c r="E165" s="8"/>
      <c r="F165" s="8"/>
      <c r="G165" s="8"/>
      <c r="H165" s="8"/>
      <c r="I165" s="89"/>
      <c r="J165" s="8"/>
      <c r="K165" s="8"/>
      <c r="L165" s="8"/>
      <c r="M165" s="8"/>
      <c r="N165" s="8"/>
      <c r="O165" s="8"/>
      <c r="P165" s="8"/>
      <c r="Q165" s="8"/>
      <c r="R165" s="8"/>
      <c r="S165" s="8"/>
      <c r="T165" s="8"/>
      <c r="U165" s="8"/>
      <c r="V165" s="8"/>
      <c r="W165" s="8"/>
      <c r="X165" s="8"/>
      <c r="Y165" s="8"/>
      <c r="Z165" s="8"/>
    </row>
    <row r="166" spans="1:26" ht="14.25" customHeight="1" x14ac:dyDescent="0.3">
      <c r="A166" s="8"/>
      <c r="B166" s="8"/>
      <c r="C166" s="8"/>
      <c r="D166" s="8"/>
      <c r="E166" s="8"/>
      <c r="F166" s="8"/>
      <c r="G166" s="8"/>
      <c r="H166" s="8"/>
      <c r="I166" s="89"/>
      <c r="J166" s="8"/>
      <c r="K166" s="8"/>
      <c r="L166" s="8"/>
      <c r="M166" s="8"/>
      <c r="N166" s="8"/>
      <c r="O166" s="8"/>
      <c r="P166" s="8"/>
      <c r="Q166" s="8"/>
      <c r="R166" s="8"/>
      <c r="S166" s="8"/>
      <c r="T166" s="8"/>
      <c r="U166" s="8"/>
      <c r="V166" s="8"/>
      <c r="W166" s="8"/>
      <c r="X166" s="8"/>
      <c r="Y166" s="8"/>
      <c r="Z166" s="8"/>
    </row>
    <row r="167" spans="1:26" ht="14.25" customHeight="1" x14ac:dyDescent="0.3">
      <c r="A167" s="8"/>
      <c r="B167" s="8"/>
      <c r="C167" s="8"/>
      <c r="D167" s="8"/>
      <c r="E167" s="8"/>
      <c r="F167" s="8"/>
      <c r="G167" s="8"/>
      <c r="H167" s="8"/>
      <c r="I167" s="89"/>
      <c r="J167" s="8"/>
      <c r="K167" s="8"/>
      <c r="L167" s="8"/>
      <c r="M167" s="8"/>
      <c r="N167" s="8"/>
      <c r="O167" s="8"/>
      <c r="P167" s="8"/>
      <c r="Q167" s="8"/>
      <c r="R167" s="8"/>
      <c r="S167" s="8"/>
      <c r="T167" s="8"/>
      <c r="U167" s="8"/>
      <c r="V167" s="8"/>
      <c r="W167" s="8"/>
      <c r="X167" s="8"/>
      <c r="Y167" s="8"/>
      <c r="Z167" s="8"/>
    </row>
    <row r="168" spans="1:26" ht="14.25" customHeight="1" x14ac:dyDescent="0.3">
      <c r="A168" s="8"/>
      <c r="B168" s="8"/>
      <c r="C168" s="8"/>
      <c r="D168" s="8"/>
      <c r="E168" s="8"/>
      <c r="F168" s="8"/>
      <c r="G168" s="8"/>
      <c r="H168" s="8"/>
      <c r="I168" s="89"/>
      <c r="J168" s="8"/>
      <c r="K168" s="8"/>
      <c r="L168" s="8"/>
      <c r="M168" s="8"/>
      <c r="N168" s="8"/>
      <c r="O168" s="8"/>
      <c r="P168" s="8"/>
      <c r="Q168" s="8"/>
      <c r="R168" s="8"/>
      <c r="S168" s="8"/>
      <c r="T168" s="8"/>
      <c r="U168" s="8"/>
      <c r="V168" s="8"/>
      <c r="W168" s="8"/>
      <c r="X168" s="8"/>
      <c r="Y168" s="8"/>
      <c r="Z168" s="8"/>
    </row>
    <row r="169" spans="1:26" ht="14.25" customHeight="1" x14ac:dyDescent="0.3">
      <c r="A169" s="8"/>
      <c r="B169" s="8"/>
      <c r="C169" s="8"/>
      <c r="D169" s="8"/>
      <c r="E169" s="8"/>
      <c r="F169" s="8"/>
      <c r="G169" s="8"/>
      <c r="H169" s="8"/>
      <c r="I169" s="89"/>
      <c r="J169" s="8"/>
      <c r="K169" s="8"/>
      <c r="L169" s="8"/>
      <c r="M169" s="8"/>
      <c r="N169" s="8"/>
      <c r="O169" s="8"/>
      <c r="P169" s="8"/>
      <c r="Q169" s="8"/>
      <c r="R169" s="8"/>
      <c r="S169" s="8"/>
      <c r="T169" s="8"/>
      <c r="U169" s="8"/>
      <c r="V169" s="8"/>
      <c r="W169" s="8"/>
      <c r="X169" s="8"/>
      <c r="Y169" s="8"/>
      <c r="Z169" s="8"/>
    </row>
    <row r="170" spans="1:26" ht="14.25" customHeight="1" x14ac:dyDescent="0.3">
      <c r="A170" s="8"/>
      <c r="B170" s="8"/>
      <c r="C170" s="8"/>
      <c r="D170" s="8"/>
      <c r="E170" s="8"/>
      <c r="F170" s="8"/>
      <c r="G170" s="8"/>
      <c r="H170" s="8"/>
      <c r="I170" s="89"/>
      <c r="J170" s="8"/>
      <c r="K170" s="8"/>
      <c r="L170" s="8"/>
      <c r="M170" s="8"/>
      <c r="N170" s="8"/>
      <c r="O170" s="8"/>
      <c r="P170" s="8"/>
      <c r="Q170" s="8"/>
      <c r="R170" s="8"/>
      <c r="S170" s="8"/>
      <c r="T170" s="8"/>
      <c r="U170" s="8"/>
      <c r="V170" s="8"/>
      <c r="W170" s="8"/>
      <c r="X170" s="8"/>
      <c r="Y170" s="8"/>
      <c r="Z170" s="8"/>
    </row>
    <row r="171" spans="1:26" ht="14.25" customHeight="1" x14ac:dyDescent="0.3">
      <c r="A171" s="8"/>
      <c r="B171" s="8"/>
      <c r="C171" s="8"/>
      <c r="D171" s="8"/>
      <c r="E171" s="8"/>
      <c r="F171" s="8"/>
      <c r="G171" s="8"/>
      <c r="H171" s="8"/>
      <c r="I171" s="89"/>
      <c r="J171" s="8"/>
      <c r="K171" s="8"/>
      <c r="L171" s="8"/>
      <c r="M171" s="8"/>
      <c r="N171" s="8"/>
      <c r="O171" s="8"/>
      <c r="P171" s="8"/>
      <c r="Q171" s="8"/>
      <c r="R171" s="8"/>
      <c r="S171" s="8"/>
      <c r="T171" s="8"/>
      <c r="U171" s="8"/>
      <c r="V171" s="8"/>
      <c r="W171" s="8"/>
      <c r="X171" s="8"/>
      <c r="Y171" s="8"/>
      <c r="Z171" s="8"/>
    </row>
    <row r="172" spans="1:26" ht="14.25" customHeight="1" x14ac:dyDescent="0.3">
      <c r="A172" s="8"/>
      <c r="B172" s="8"/>
      <c r="C172" s="8"/>
      <c r="D172" s="8"/>
      <c r="E172" s="8"/>
      <c r="F172" s="8"/>
      <c r="G172" s="8"/>
      <c r="H172" s="8"/>
      <c r="I172" s="89"/>
      <c r="J172" s="8"/>
      <c r="K172" s="8"/>
      <c r="L172" s="8"/>
      <c r="M172" s="8"/>
      <c r="N172" s="8"/>
      <c r="O172" s="8"/>
      <c r="P172" s="8"/>
      <c r="Q172" s="8"/>
      <c r="R172" s="8"/>
      <c r="S172" s="8"/>
      <c r="T172" s="8"/>
      <c r="U172" s="8"/>
      <c r="V172" s="8"/>
      <c r="W172" s="8"/>
      <c r="X172" s="8"/>
      <c r="Y172" s="8"/>
      <c r="Z172" s="8"/>
    </row>
    <row r="173" spans="1:26" ht="14.25" customHeight="1" x14ac:dyDescent="0.3">
      <c r="A173" s="8"/>
      <c r="B173" s="8"/>
      <c r="C173" s="8"/>
      <c r="D173" s="8"/>
      <c r="E173" s="8"/>
      <c r="F173" s="8"/>
      <c r="G173" s="8"/>
      <c r="H173" s="8"/>
      <c r="I173" s="89"/>
      <c r="J173" s="8"/>
      <c r="K173" s="8"/>
      <c r="L173" s="8"/>
      <c r="M173" s="8"/>
      <c r="N173" s="8"/>
      <c r="O173" s="8"/>
      <c r="P173" s="8"/>
      <c r="Q173" s="8"/>
      <c r="R173" s="8"/>
      <c r="S173" s="8"/>
      <c r="T173" s="8"/>
      <c r="U173" s="8"/>
      <c r="V173" s="8"/>
      <c r="W173" s="8"/>
      <c r="X173" s="8"/>
      <c r="Y173" s="8"/>
      <c r="Z173" s="8"/>
    </row>
    <row r="174" spans="1:26" ht="14.25" customHeight="1" x14ac:dyDescent="0.3">
      <c r="A174" s="8"/>
      <c r="B174" s="8"/>
      <c r="C174" s="8"/>
      <c r="D174" s="8"/>
      <c r="E174" s="8"/>
      <c r="F174" s="8"/>
      <c r="G174" s="8"/>
      <c r="H174" s="8"/>
      <c r="I174" s="89"/>
      <c r="J174" s="8"/>
      <c r="K174" s="8"/>
      <c r="L174" s="8"/>
      <c r="M174" s="8"/>
      <c r="N174" s="8"/>
      <c r="O174" s="8"/>
      <c r="P174" s="8"/>
      <c r="Q174" s="8"/>
      <c r="R174" s="8"/>
      <c r="S174" s="8"/>
      <c r="T174" s="8"/>
      <c r="U174" s="8"/>
      <c r="V174" s="8"/>
      <c r="W174" s="8"/>
      <c r="X174" s="8"/>
      <c r="Y174" s="8"/>
      <c r="Z174" s="8"/>
    </row>
    <row r="175" spans="1:26" ht="14.25" customHeight="1" x14ac:dyDescent="0.3">
      <c r="A175" s="8"/>
      <c r="B175" s="8"/>
      <c r="C175" s="8"/>
      <c r="D175" s="8"/>
      <c r="E175" s="8"/>
      <c r="F175" s="8"/>
      <c r="G175" s="8"/>
      <c r="H175" s="8"/>
      <c r="I175" s="89"/>
      <c r="J175" s="8"/>
      <c r="K175" s="8"/>
      <c r="L175" s="8"/>
      <c r="M175" s="8"/>
      <c r="N175" s="8"/>
      <c r="O175" s="8"/>
      <c r="P175" s="8"/>
      <c r="Q175" s="8"/>
      <c r="R175" s="8"/>
      <c r="S175" s="8"/>
      <c r="T175" s="8"/>
      <c r="U175" s="8"/>
      <c r="V175" s="8"/>
      <c r="W175" s="8"/>
      <c r="X175" s="8"/>
      <c r="Y175" s="8"/>
      <c r="Z175" s="8"/>
    </row>
    <row r="176" spans="1:26" ht="14.25" customHeight="1" x14ac:dyDescent="0.3">
      <c r="A176" s="8"/>
      <c r="B176" s="8"/>
      <c r="C176" s="8"/>
      <c r="D176" s="8"/>
      <c r="E176" s="8"/>
      <c r="F176" s="8"/>
      <c r="G176" s="8"/>
      <c r="H176" s="8"/>
      <c r="I176" s="89"/>
      <c r="J176" s="8"/>
      <c r="K176" s="8"/>
      <c r="L176" s="8"/>
      <c r="M176" s="8"/>
      <c r="N176" s="8"/>
      <c r="O176" s="8"/>
      <c r="P176" s="8"/>
      <c r="Q176" s="8"/>
      <c r="R176" s="8"/>
      <c r="S176" s="8"/>
      <c r="T176" s="8"/>
      <c r="U176" s="8"/>
      <c r="V176" s="8"/>
      <c r="W176" s="8"/>
      <c r="X176" s="8"/>
      <c r="Y176" s="8"/>
      <c r="Z176" s="8"/>
    </row>
    <row r="177" spans="1:26" ht="14.25" customHeight="1" x14ac:dyDescent="0.3">
      <c r="A177" s="8"/>
      <c r="B177" s="8"/>
      <c r="C177" s="8"/>
      <c r="D177" s="8"/>
      <c r="E177" s="8"/>
      <c r="F177" s="8"/>
      <c r="G177" s="8"/>
      <c r="H177" s="8"/>
      <c r="I177" s="89"/>
      <c r="J177" s="8"/>
      <c r="K177" s="8"/>
      <c r="L177" s="8"/>
      <c r="M177" s="8"/>
      <c r="N177" s="8"/>
      <c r="O177" s="8"/>
      <c r="P177" s="8"/>
      <c r="Q177" s="8"/>
      <c r="R177" s="8"/>
      <c r="S177" s="8"/>
      <c r="T177" s="8"/>
      <c r="U177" s="8"/>
      <c r="V177" s="8"/>
      <c r="W177" s="8"/>
      <c r="X177" s="8"/>
      <c r="Y177" s="8"/>
      <c r="Z177" s="8"/>
    </row>
    <row r="178" spans="1:26" ht="14.25" customHeight="1" x14ac:dyDescent="0.3">
      <c r="A178" s="8"/>
      <c r="B178" s="8"/>
      <c r="C178" s="8"/>
      <c r="D178" s="8"/>
      <c r="E178" s="8"/>
      <c r="F178" s="8"/>
      <c r="G178" s="8"/>
      <c r="H178" s="8"/>
      <c r="I178" s="89"/>
      <c r="J178" s="8"/>
      <c r="K178" s="8"/>
      <c r="L178" s="8"/>
      <c r="M178" s="8"/>
      <c r="N178" s="8"/>
      <c r="O178" s="8"/>
      <c r="P178" s="8"/>
      <c r="Q178" s="8"/>
      <c r="R178" s="8"/>
      <c r="S178" s="8"/>
      <c r="T178" s="8"/>
      <c r="U178" s="8"/>
      <c r="V178" s="8"/>
      <c r="W178" s="8"/>
      <c r="X178" s="8"/>
      <c r="Y178" s="8"/>
      <c r="Z178" s="8"/>
    </row>
    <row r="179" spans="1:26" ht="14.25" customHeight="1" x14ac:dyDescent="0.3">
      <c r="A179" s="8"/>
      <c r="B179" s="8"/>
      <c r="C179" s="8"/>
      <c r="D179" s="8"/>
      <c r="E179" s="8"/>
      <c r="F179" s="8"/>
      <c r="G179" s="8"/>
      <c r="H179" s="8"/>
      <c r="I179" s="89"/>
      <c r="J179" s="8"/>
      <c r="K179" s="8"/>
      <c r="L179" s="8"/>
      <c r="M179" s="8"/>
      <c r="N179" s="8"/>
      <c r="O179" s="8"/>
      <c r="P179" s="8"/>
      <c r="Q179" s="8"/>
      <c r="R179" s="8"/>
      <c r="S179" s="8"/>
      <c r="T179" s="8"/>
      <c r="U179" s="8"/>
      <c r="V179" s="8"/>
      <c r="W179" s="8"/>
      <c r="X179" s="8"/>
      <c r="Y179" s="8"/>
      <c r="Z179" s="8"/>
    </row>
    <row r="180" spans="1:26" ht="14.25" customHeight="1" x14ac:dyDescent="0.3">
      <c r="A180" s="8"/>
      <c r="B180" s="8"/>
      <c r="C180" s="8"/>
      <c r="D180" s="8"/>
      <c r="E180" s="8"/>
      <c r="F180" s="8"/>
      <c r="G180" s="8"/>
      <c r="H180" s="8"/>
      <c r="I180" s="89"/>
      <c r="J180" s="8"/>
      <c r="K180" s="8"/>
      <c r="L180" s="8"/>
      <c r="M180" s="8"/>
      <c r="N180" s="8"/>
      <c r="O180" s="8"/>
      <c r="P180" s="8"/>
      <c r="Q180" s="8"/>
      <c r="R180" s="8"/>
      <c r="S180" s="8"/>
      <c r="T180" s="8"/>
      <c r="U180" s="8"/>
      <c r="V180" s="8"/>
      <c r="W180" s="8"/>
      <c r="X180" s="8"/>
      <c r="Y180" s="8"/>
      <c r="Z180" s="8"/>
    </row>
    <row r="181" spans="1:26" ht="14.25" customHeight="1" x14ac:dyDescent="0.3">
      <c r="A181" s="8"/>
      <c r="B181" s="8"/>
      <c r="C181" s="8"/>
      <c r="D181" s="8"/>
      <c r="E181" s="8"/>
      <c r="F181" s="8"/>
      <c r="G181" s="8"/>
      <c r="H181" s="8"/>
      <c r="I181" s="89"/>
      <c r="J181" s="8"/>
      <c r="K181" s="8"/>
      <c r="L181" s="8"/>
      <c r="M181" s="8"/>
      <c r="N181" s="8"/>
      <c r="O181" s="8"/>
      <c r="P181" s="8"/>
      <c r="Q181" s="8"/>
      <c r="R181" s="8"/>
      <c r="S181" s="8"/>
      <c r="T181" s="8"/>
      <c r="U181" s="8"/>
      <c r="V181" s="8"/>
      <c r="W181" s="8"/>
      <c r="X181" s="8"/>
      <c r="Y181" s="8"/>
      <c r="Z181" s="8"/>
    </row>
    <row r="182" spans="1:26" ht="14.25" customHeight="1" x14ac:dyDescent="0.3">
      <c r="A182" s="8"/>
      <c r="B182" s="8"/>
      <c r="C182" s="8"/>
      <c r="D182" s="8"/>
      <c r="E182" s="8"/>
      <c r="F182" s="8"/>
      <c r="G182" s="8"/>
      <c r="H182" s="8"/>
      <c r="I182" s="89"/>
      <c r="J182" s="8"/>
      <c r="K182" s="8"/>
      <c r="L182" s="8"/>
      <c r="M182" s="8"/>
      <c r="N182" s="8"/>
      <c r="O182" s="8"/>
      <c r="P182" s="8"/>
      <c r="Q182" s="8"/>
      <c r="R182" s="8"/>
      <c r="S182" s="8"/>
      <c r="T182" s="8"/>
      <c r="U182" s="8"/>
      <c r="V182" s="8"/>
      <c r="W182" s="8"/>
      <c r="X182" s="8"/>
      <c r="Y182" s="8"/>
      <c r="Z182" s="8"/>
    </row>
    <row r="183" spans="1:26" ht="14.25" customHeight="1" x14ac:dyDescent="0.3">
      <c r="A183" s="8"/>
      <c r="B183" s="8"/>
      <c r="C183" s="8"/>
      <c r="D183" s="8"/>
      <c r="E183" s="8"/>
      <c r="F183" s="8"/>
      <c r="G183" s="8"/>
      <c r="H183" s="8"/>
      <c r="I183" s="89"/>
      <c r="J183" s="8"/>
      <c r="K183" s="8"/>
      <c r="L183" s="8"/>
      <c r="M183" s="8"/>
      <c r="N183" s="8"/>
      <c r="O183" s="8"/>
      <c r="P183" s="8"/>
      <c r="Q183" s="8"/>
      <c r="R183" s="8"/>
      <c r="S183" s="8"/>
      <c r="T183" s="8"/>
      <c r="U183" s="8"/>
      <c r="V183" s="8"/>
      <c r="W183" s="8"/>
      <c r="X183" s="8"/>
      <c r="Y183" s="8"/>
      <c r="Z183" s="8"/>
    </row>
    <row r="184" spans="1:26" ht="14.25" customHeight="1" x14ac:dyDescent="0.3">
      <c r="A184" s="8"/>
      <c r="B184" s="8"/>
      <c r="C184" s="8"/>
      <c r="D184" s="8"/>
      <c r="E184" s="8"/>
      <c r="F184" s="8"/>
      <c r="G184" s="8"/>
      <c r="H184" s="8"/>
      <c r="I184" s="89"/>
      <c r="J184" s="8"/>
      <c r="K184" s="8"/>
      <c r="L184" s="8"/>
      <c r="M184" s="8"/>
      <c r="N184" s="8"/>
      <c r="O184" s="8"/>
      <c r="P184" s="8"/>
      <c r="Q184" s="8"/>
      <c r="R184" s="8"/>
      <c r="S184" s="8"/>
      <c r="T184" s="8"/>
      <c r="U184" s="8"/>
      <c r="V184" s="8"/>
      <c r="W184" s="8"/>
      <c r="X184" s="8"/>
      <c r="Y184" s="8"/>
      <c r="Z184" s="8"/>
    </row>
    <row r="185" spans="1:26" ht="14.25" customHeight="1" x14ac:dyDescent="0.3">
      <c r="A185" s="8"/>
      <c r="B185" s="8"/>
      <c r="C185" s="8"/>
      <c r="D185" s="8"/>
      <c r="E185" s="8"/>
      <c r="F185" s="8"/>
      <c r="G185" s="8"/>
      <c r="H185" s="8"/>
      <c r="I185" s="89"/>
      <c r="J185" s="8"/>
      <c r="K185" s="8"/>
      <c r="L185" s="8"/>
      <c r="M185" s="8"/>
      <c r="N185" s="8"/>
      <c r="O185" s="8"/>
      <c r="P185" s="8"/>
      <c r="Q185" s="8"/>
      <c r="R185" s="8"/>
      <c r="S185" s="8"/>
      <c r="T185" s="8"/>
      <c r="U185" s="8"/>
      <c r="V185" s="8"/>
      <c r="W185" s="8"/>
      <c r="X185" s="8"/>
      <c r="Y185" s="8"/>
      <c r="Z185" s="8"/>
    </row>
    <row r="186" spans="1:26" ht="14.25" customHeight="1" x14ac:dyDescent="0.3">
      <c r="A186" s="8"/>
      <c r="B186" s="8"/>
      <c r="C186" s="8"/>
      <c r="D186" s="8"/>
      <c r="E186" s="8"/>
      <c r="F186" s="8"/>
      <c r="G186" s="8"/>
      <c r="H186" s="8"/>
      <c r="I186" s="89"/>
      <c r="J186" s="8"/>
      <c r="K186" s="8"/>
      <c r="L186" s="8"/>
      <c r="M186" s="8"/>
      <c r="N186" s="8"/>
      <c r="O186" s="8"/>
      <c r="P186" s="8"/>
      <c r="Q186" s="8"/>
      <c r="R186" s="8"/>
      <c r="S186" s="8"/>
      <c r="T186" s="8"/>
      <c r="U186" s="8"/>
      <c r="V186" s="8"/>
      <c r="W186" s="8"/>
      <c r="X186" s="8"/>
      <c r="Y186" s="8"/>
      <c r="Z186" s="8"/>
    </row>
    <row r="187" spans="1:26" ht="14.25" customHeight="1" x14ac:dyDescent="0.3">
      <c r="A187" s="8"/>
      <c r="B187" s="8"/>
      <c r="C187" s="8"/>
      <c r="D187" s="8"/>
      <c r="E187" s="8"/>
      <c r="F187" s="8"/>
      <c r="G187" s="8"/>
      <c r="H187" s="8"/>
      <c r="I187" s="89"/>
      <c r="J187" s="8"/>
      <c r="K187" s="8"/>
      <c r="L187" s="8"/>
      <c r="M187" s="8"/>
      <c r="N187" s="8"/>
      <c r="O187" s="8"/>
      <c r="P187" s="8"/>
      <c r="Q187" s="8"/>
      <c r="R187" s="8"/>
      <c r="S187" s="8"/>
      <c r="T187" s="8"/>
      <c r="U187" s="8"/>
      <c r="V187" s="8"/>
      <c r="W187" s="8"/>
      <c r="X187" s="8"/>
      <c r="Y187" s="8"/>
      <c r="Z187" s="8"/>
    </row>
    <row r="188" spans="1:26" ht="14.25" customHeight="1" x14ac:dyDescent="0.3">
      <c r="A188" s="8"/>
      <c r="B188" s="8"/>
      <c r="C188" s="8"/>
      <c r="D188" s="8"/>
      <c r="E188" s="8"/>
      <c r="F188" s="8"/>
      <c r="G188" s="8"/>
      <c r="H188" s="8"/>
      <c r="I188" s="89"/>
      <c r="J188" s="8"/>
      <c r="K188" s="8"/>
      <c r="L188" s="8"/>
      <c r="M188" s="8"/>
      <c r="N188" s="8"/>
      <c r="O188" s="8"/>
      <c r="P188" s="8"/>
      <c r="Q188" s="8"/>
      <c r="R188" s="8"/>
      <c r="S188" s="8"/>
      <c r="T188" s="8"/>
      <c r="U188" s="8"/>
      <c r="V188" s="8"/>
      <c r="W188" s="8"/>
      <c r="X188" s="8"/>
      <c r="Y188" s="8"/>
      <c r="Z188" s="8"/>
    </row>
    <row r="189" spans="1:26" ht="14.25" customHeight="1" x14ac:dyDescent="0.3">
      <c r="A189" s="8"/>
      <c r="B189" s="8"/>
      <c r="C189" s="8"/>
      <c r="D189" s="8"/>
      <c r="E189" s="8"/>
      <c r="F189" s="8"/>
      <c r="G189" s="8"/>
      <c r="H189" s="8"/>
      <c r="I189" s="89"/>
      <c r="J189" s="8"/>
      <c r="K189" s="8"/>
      <c r="L189" s="8"/>
      <c r="M189" s="8"/>
      <c r="N189" s="8"/>
      <c r="O189" s="8"/>
      <c r="P189" s="8"/>
      <c r="Q189" s="8"/>
      <c r="R189" s="8"/>
      <c r="S189" s="8"/>
      <c r="T189" s="8"/>
      <c r="U189" s="8"/>
      <c r="V189" s="8"/>
      <c r="W189" s="8"/>
      <c r="X189" s="8"/>
      <c r="Y189" s="8"/>
      <c r="Z189" s="8"/>
    </row>
    <row r="190" spans="1:26" ht="14.25" customHeight="1" x14ac:dyDescent="0.3">
      <c r="A190" s="8"/>
      <c r="B190" s="8"/>
      <c r="C190" s="8"/>
      <c r="D190" s="8"/>
      <c r="E190" s="8"/>
      <c r="F190" s="8"/>
      <c r="G190" s="8"/>
      <c r="H190" s="8"/>
      <c r="I190" s="89"/>
      <c r="J190" s="8"/>
      <c r="K190" s="8"/>
      <c r="L190" s="8"/>
      <c r="M190" s="8"/>
      <c r="N190" s="8"/>
      <c r="O190" s="8"/>
      <c r="P190" s="8"/>
      <c r="Q190" s="8"/>
      <c r="R190" s="8"/>
      <c r="S190" s="8"/>
      <c r="T190" s="8"/>
      <c r="U190" s="8"/>
      <c r="V190" s="8"/>
      <c r="W190" s="8"/>
      <c r="X190" s="8"/>
      <c r="Y190" s="8"/>
      <c r="Z190" s="8"/>
    </row>
    <row r="191" spans="1:26" ht="14.25" customHeight="1" x14ac:dyDescent="0.3">
      <c r="A191" s="8"/>
      <c r="B191" s="8"/>
      <c r="C191" s="8"/>
      <c r="D191" s="8"/>
      <c r="E191" s="8"/>
      <c r="F191" s="8"/>
      <c r="G191" s="8"/>
      <c r="H191" s="8"/>
      <c r="I191" s="89"/>
      <c r="J191" s="8"/>
      <c r="K191" s="8"/>
      <c r="L191" s="8"/>
      <c r="M191" s="8"/>
      <c r="N191" s="8"/>
      <c r="O191" s="8"/>
      <c r="P191" s="8"/>
      <c r="Q191" s="8"/>
      <c r="R191" s="8"/>
      <c r="S191" s="8"/>
      <c r="T191" s="8"/>
      <c r="U191" s="8"/>
      <c r="V191" s="8"/>
      <c r="W191" s="8"/>
      <c r="X191" s="8"/>
      <c r="Y191" s="8"/>
      <c r="Z191" s="8"/>
    </row>
    <row r="192" spans="1:26" ht="14.25" customHeight="1" x14ac:dyDescent="0.3">
      <c r="A192" s="8"/>
      <c r="B192" s="8"/>
      <c r="C192" s="8"/>
      <c r="D192" s="8"/>
      <c r="E192" s="8"/>
      <c r="F192" s="8"/>
      <c r="G192" s="8"/>
      <c r="H192" s="8"/>
      <c r="I192" s="89"/>
      <c r="J192" s="8"/>
      <c r="K192" s="8"/>
      <c r="L192" s="8"/>
      <c r="M192" s="8"/>
      <c r="N192" s="8"/>
      <c r="O192" s="8"/>
      <c r="P192" s="8"/>
      <c r="Q192" s="8"/>
      <c r="R192" s="8"/>
      <c r="S192" s="8"/>
      <c r="T192" s="8"/>
      <c r="U192" s="8"/>
      <c r="V192" s="8"/>
      <c r="W192" s="8"/>
      <c r="X192" s="8"/>
      <c r="Y192" s="8"/>
      <c r="Z192" s="8"/>
    </row>
    <row r="193" spans="1:26" ht="14.25" customHeight="1" x14ac:dyDescent="0.3">
      <c r="A193" s="8"/>
      <c r="B193" s="8"/>
      <c r="C193" s="8"/>
      <c r="D193" s="8"/>
      <c r="E193" s="8"/>
      <c r="F193" s="8"/>
      <c r="G193" s="8"/>
      <c r="H193" s="8"/>
      <c r="I193" s="89"/>
      <c r="J193" s="8"/>
      <c r="K193" s="8"/>
      <c r="L193" s="8"/>
      <c r="M193" s="8"/>
      <c r="N193" s="8"/>
      <c r="O193" s="8"/>
      <c r="P193" s="8"/>
      <c r="Q193" s="8"/>
      <c r="R193" s="8"/>
      <c r="S193" s="8"/>
      <c r="T193" s="8"/>
      <c r="U193" s="8"/>
      <c r="V193" s="8"/>
      <c r="W193" s="8"/>
      <c r="X193" s="8"/>
      <c r="Y193" s="8"/>
      <c r="Z193" s="8"/>
    </row>
    <row r="194" spans="1:26" ht="14.25" customHeight="1" x14ac:dyDescent="0.3">
      <c r="A194" s="8"/>
      <c r="B194" s="8"/>
      <c r="C194" s="8"/>
      <c r="D194" s="8"/>
      <c r="E194" s="8"/>
      <c r="F194" s="8"/>
      <c r="G194" s="8"/>
      <c r="H194" s="8"/>
      <c r="I194" s="89"/>
      <c r="J194" s="8"/>
      <c r="K194" s="8"/>
      <c r="L194" s="8"/>
      <c r="M194" s="8"/>
      <c r="N194" s="8"/>
      <c r="O194" s="8"/>
      <c r="P194" s="8"/>
      <c r="Q194" s="8"/>
      <c r="R194" s="8"/>
      <c r="S194" s="8"/>
      <c r="T194" s="8"/>
      <c r="U194" s="8"/>
      <c r="V194" s="8"/>
      <c r="W194" s="8"/>
      <c r="X194" s="8"/>
      <c r="Y194" s="8"/>
      <c r="Z194" s="8"/>
    </row>
    <row r="195" spans="1:26" ht="14.25" customHeight="1" x14ac:dyDescent="0.3">
      <c r="A195" s="8"/>
      <c r="B195" s="8"/>
      <c r="C195" s="8"/>
      <c r="D195" s="8"/>
      <c r="E195" s="8"/>
      <c r="F195" s="8"/>
      <c r="G195" s="8"/>
      <c r="H195" s="8"/>
      <c r="I195" s="89"/>
      <c r="J195" s="8"/>
      <c r="K195" s="8"/>
      <c r="L195" s="8"/>
      <c r="M195" s="8"/>
      <c r="N195" s="8"/>
      <c r="O195" s="8"/>
      <c r="P195" s="8"/>
      <c r="Q195" s="8"/>
      <c r="R195" s="8"/>
      <c r="S195" s="8"/>
      <c r="T195" s="8"/>
      <c r="U195" s="8"/>
      <c r="V195" s="8"/>
      <c r="W195" s="8"/>
      <c r="X195" s="8"/>
      <c r="Y195" s="8"/>
      <c r="Z195" s="8"/>
    </row>
    <row r="196" spans="1:26" ht="14.25" customHeight="1" x14ac:dyDescent="0.3">
      <c r="A196" s="8"/>
      <c r="B196" s="8"/>
      <c r="C196" s="8"/>
      <c r="D196" s="8"/>
      <c r="E196" s="8"/>
      <c r="F196" s="8"/>
      <c r="G196" s="8"/>
      <c r="H196" s="8"/>
      <c r="I196" s="89"/>
      <c r="J196" s="8"/>
      <c r="K196" s="8"/>
      <c r="L196" s="8"/>
      <c r="M196" s="8"/>
      <c r="N196" s="8"/>
      <c r="O196" s="8"/>
      <c r="P196" s="8"/>
      <c r="Q196" s="8"/>
      <c r="R196" s="8"/>
      <c r="S196" s="8"/>
      <c r="T196" s="8"/>
      <c r="U196" s="8"/>
      <c r="V196" s="8"/>
      <c r="W196" s="8"/>
      <c r="X196" s="8"/>
      <c r="Y196" s="8"/>
      <c r="Z196" s="8"/>
    </row>
    <row r="197" spans="1:26" ht="14.25" customHeight="1" x14ac:dyDescent="0.3">
      <c r="A197" s="8"/>
      <c r="B197" s="8"/>
      <c r="C197" s="8"/>
      <c r="D197" s="8"/>
      <c r="E197" s="8"/>
      <c r="F197" s="8"/>
      <c r="G197" s="8"/>
      <c r="H197" s="8"/>
      <c r="I197" s="89"/>
      <c r="J197" s="8"/>
      <c r="K197" s="8"/>
      <c r="L197" s="8"/>
      <c r="M197" s="8"/>
      <c r="N197" s="8"/>
      <c r="O197" s="8"/>
      <c r="P197" s="8"/>
      <c r="Q197" s="8"/>
      <c r="R197" s="8"/>
      <c r="S197" s="8"/>
      <c r="T197" s="8"/>
      <c r="U197" s="8"/>
      <c r="V197" s="8"/>
      <c r="W197" s="8"/>
      <c r="X197" s="8"/>
      <c r="Y197" s="8"/>
      <c r="Z197" s="8"/>
    </row>
    <row r="198" spans="1:26" ht="14.25" customHeight="1" x14ac:dyDescent="0.3">
      <c r="A198" s="8"/>
      <c r="B198" s="8"/>
      <c r="C198" s="8"/>
      <c r="D198" s="8"/>
      <c r="E198" s="8"/>
      <c r="F198" s="8"/>
      <c r="G198" s="8"/>
      <c r="H198" s="8"/>
      <c r="I198" s="89"/>
      <c r="J198" s="8"/>
      <c r="K198" s="8"/>
      <c r="L198" s="8"/>
      <c r="M198" s="8"/>
      <c r="N198" s="8"/>
      <c r="O198" s="8"/>
      <c r="P198" s="8"/>
      <c r="Q198" s="8"/>
      <c r="R198" s="8"/>
      <c r="S198" s="8"/>
      <c r="T198" s="8"/>
      <c r="U198" s="8"/>
      <c r="V198" s="8"/>
      <c r="W198" s="8"/>
      <c r="X198" s="8"/>
      <c r="Y198" s="8"/>
      <c r="Z198" s="8"/>
    </row>
    <row r="199" spans="1:26" ht="14.25" customHeight="1" x14ac:dyDescent="0.3">
      <c r="A199" s="8"/>
      <c r="B199" s="8"/>
      <c r="C199" s="8"/>
      <c r="D199" s="8"/>
      <c r="E199" s="8"/>
      <c r="F199" s="8"/>
      <c r="G199" s="8"/>
      <c r="H199" s="8"/>
      <c r="I199" s="89"/>
      <c r="J199" s="8"/>
      <c r="K199" s="8"/>
      <c r="L199" s="8"/>
      <c r="M199" s="8"/>
      <c r="N199" s="8"/>
      <c r="O199" s="8"/>
      <c r="P199" s="8"/>
      <c r="Q199" s="8"/>
      <c r="R199" s="8"/>
      <c r="S199" s="8"/>
      <c r="T199" s="8"/>
      <c r="U199" s="8"/>
      <c r="V199" s="8"/>
      <c r="W199" s="8"/>
      <c r="X199" s="8"/>
      <c r="Y199" s="8"/>
      <c r="Z199" s="8"/>
    </row>
    <row r="200" spans="1:26" ht="14.25" customHeight="1" x14ac:dyDescent="0.3">
      <c r="A200" s="8"/>
      <c r="B200" s="8"/>
      <c r="C200" s="8"/>
      <c r="D200" s="8"/>
      <c r="E200" s="8"/>
      <c r="F200" s="8"/>
      <c r="G200" s="8"/>
      <c r="H200" s="8"/>
      <c r="I200" s="89"/>
      <c r="J200" s="8"/>
      <c r="K200" s="8"/>
      <c r="L200" s="8"/>
      <c r="M200" s="8"/>
      <c r="N200" s="8"/>
      <c r="O200" s="8"/>
      <c r="P200" s="8"/>
      <c r="Q200" s="8"/>
      <c r="R200" s="8"/>
      <c r="S200" s="8"/>
      <c r="T200" s="8"/>
      <c r="U200" s="8"/>
      <c r="V200" s="8"/>
      <c r="W200" s="8"/>
      <c r="X200" s="8"/>
      <c r="Y200" s="8"/>
      <c r="Z200" s="8"/>
    </row>
    <row r="201" spans="1:26" ht="12.75" customHeight="1" x14ac:dyDescent="0.3">
      <c r="A201" s="8"/>
      <c r="B201" s="8"/>
      <c r="C201" s="8"/>
      <c r="D201" s="8"/>
      <c r="E201" s="8"/>
      <c r="F201" s="8"/>
      <c r="G201" s="8"/>
      <c r="H201" s="8"/>
      <c r="I201" s="89"/>
      <c r="J201" s="8"/>
      <c r="K201" s="8"/>
      <c r="L201" s="8"/>
      <c r="M201" s="8"/>
      <c r="N201" s="8"/>
      <c r="O201" s="8"/>
      <c r="P201" s="8"/>
      <c r="Q201" s="8"/>
      <c r="R201" s="8"/>
      <c r="S201" s="8"/>
      <c r="T201" s="8"/>
      <c r="U201" s="8"/>
      <c r="V201" s="8"/>
      <c r="W201" s="8"/>
      <c r="X201" s="8"/>
      <c r="Y201" s="8"/>
      <c r="Z201" s="8"/>
    </row>
    <row r="202" spans="1:26" ht="12.75" customHeight="1" x14ac:dyDescent="0.3">
      <c r="A202" s="8"/>
      <c r="B202" s="8"/>
      <c r="C202" s="8"/>
      <c r="D202" s="8"/>
      <c r="E202" s="8"/>
      <c r="F202" s="8"/>
      <c r="G202" s="8"/>
      <c r="H202" s="8"/>
      <c r="I202" s="89"/>
      <c r="J202" s="8"/>
      <c r="K202" s="8"/>
      <c r="L202" s="8"/>
      <c r="M202" s="8"/>
      <c r="N202" s="8"/>
      <c r="O202" s="8"/>
      <c r="P202" s="8"/>
      <c r="Q202" s="8"/>
      <c r="R202" s="8"/>
      <c r="S202" s="8"/>
      <c r="T202" s="8"/>
      <c r="U202" s="8"/>
      <c r="V202" s="8"/>
      <c r="W202" s="8"/>
      <c r="X202" s="8"/>
      <c r="Y202" s="8"/>
      <c r="Z202" s="8"/>
    </row>
    <row r="203" spans="1:26" ht="12.75" customHeight="1" x14ac:dyDescent="0.3">
      <c r="A203" s="8"/>
      <c r="B203" s="8"/>
      <c r="C203" s="8"/>
      <c r="D203" s="8"/>
      <c r="E203" s="8"/>
      <c r="F203" s="8"/>
      <c r="G203" s="8"/>
      <c r="H203" s="8"/>
      <c r="I203" s="89"/>
      <c r="J203" s="8"/>
      <c r="K203" s="8"/>
      <c r="L203" s="8"/>
      <c r="M203" s="8"/>
      <c r="N203" s="8"/>
      <c r="O203" s="8"/>
      <c r="P203" s="8"/>
      <c r="Q203" s="8"/>
      <c r="R203" s="8"/>
      <c r="S203" s="8"/>
      <c r="T203" s="8"/>
      <c r="U203" s="8"/>
      <c r="V203" s="8"/>
      <c r="W203" s="8"/>
      <c r="X203" s="8"/>
      <c r="Y203" s="8"/>
      <c r="Z203" s="8"/>
    </row>
    <row r="204" spans="1:26" ht="12.75" customHeight="1" x14ac:dyDescent="0.3">
      <c r="A204" s="8"/>
      <c r="B204" s="8"/>
      <c r="C204" s="8"/>
      <c r="D204" s="8"/>
      <c r="E204" s="8"/>
      <c r="F204" s="8"/>
      <c r="G204" s="8"/>
      <c r="H204" s="8"/>
      <c r="I204" s="89"/>
      <c r="J204" s="8"/>
      <c r="K204" s="8"/>
      <c r="L204" s="8"/>
      <c r="M204" s="8"/>
      <c r="N204" s="8"/>
      <c r="O204" s="8"/>
      <c r="P204" s="8"/>
      <c r="Q204" s="8"/>
      <c r="R204" s="8"/>
      <c r="S204" s="8"/>
      <c r="T204" s="8"/>
      <c r="U204" s="8"/>
      <c r="V204" s="8"/>
      <c r="W204" s="8"/>
      <c r="X204" s="8"/>
      <c r="Y204" s="8"/>
      <c r="Z204" s="8"/>
    </row>
    <row r="205" spans="1:26" ht="12.75" customHeight="1" x14ac:dyDescent="0.3">
      <c r="A205" s="8"/>
      <c r="B205" s="8"/>
      <c r="C205" s="8"/>
      <c r="D205" s="8"/>
      <c r="E205" s="8"/>
      <c r="F205" s="8"/>
      <c r="G205" s="8"/>
      <c r="H205" s="8"/>
      <c r="I205" s="89"/>
      <c r="J205" s="8"/>
      <c r="K205" s="8"/>
      <c r="L205" s="8"/>
      <c r="M205" s="8"/>
      <c r="N205" s="8"/>
      <c r="O205" s="8"/>
      <c r="P205" s="8"/>
      <c r="Q205" s="8"/>
      <c r="R205" s="8"/>
      <c r="S205" s="8"/>
      <c r="T205" s="8"/>
      <c r="U205" s="8"/>
      <c r="V205" s="8"/>
      <c r="W205" s="8"/>
      <c r="X205" s="8"/>
      <c r="Y205" s="8"/>
      <c r="Z205" s="8"/>
    </row>
    <row r="206" spans="1:26" ht="12.75" customHeight="1" x14ac:dyDescent="0.3">
      <c r="A206" s="8"/>
      <c r="B206" s="8"/>
      <c r="C206" s="8"/>
      <c r="D206" s="8"/>
      <c r="E206" s="8"/>
      <c r="F206" s="8"/>
      <c r="G206" s="8"/>
      <c r="H206" s="8"/>
      <c r="I206" s="89"/>
      <c r="J206" s="8"/>
      <c r="K206" s="8"/>
      <c r="L206" s="8"/>
      <c r="M206" s="8"/>
      <c r="N206" s="8"/>
      <c r="O206" s="8"/>
      <c r="P206" s="8"/>
      <c r="Q206" s="8"/>
      <c r="R206" s="8"/>
      <c r="S206" s="8"/>
      <c r="T206" s="8"/>
      <c r="U206" s="8"/>
      <c r="V206" s="8"/>
      <c r="W206" s="8"/>
      <c r="X206" s="8"/>
      <c r="Y206" s="8"/>
      <c r="Z206" s="8"/>
    </row>
    <row r="207" spans="1:26" ht="12.75" customHeight="1" x14ac:dyDescent="0.3">
      <c r="A207" s="8"/>
      <c r="B207" s="8"/>
      <c r="C207" s="8"/>
      <c r="D207" s="8"/>
      <c r="E207" s="8"/>
      <c r="F207" s="8"/>
      <c r="G207" s="8"/>
      <c r="H207" s="8"/>
      <c r="I207" s="89"/>
      <c r="J207" s="8"/>
      <c r="K207" s="8"/>
      <c r="L207" s="8"/>
      <c r="M207" s="8"/>
      <c r="N207" s="8"/>
      <c r="O207" s="8"/>
      <c r="P207" s="8"/>
      <c r="Q207" s="8"/>
      <c r="R207" s="8"/>
      <c r="S207" s="8"/>
      <c r="T207" s="8"/>
      <c r="U207" s="8"/>
      <c r="V207" s="8"/>
      <c r="W207" s="8"/>
      <c r="X207" s="8"/>
      <c r="Y207" s="8"/>
      <c r="Z207" s="8"/>
    </row>
    <row r="208" spans="1:26" ht="12.75" customHeight="1" x14ac:dyDescent="0.3">
      <c r="A208" s="8"/>
      <c r="B208" s="8"/>
      <c r="C208" s="8"/>
      <c r="D208" s="8"/>
      <c r="E208" s="8"/>
      <c r="F208" s="8"/>
      <c r="G208" s="8"/>
      <c r="H208" s="8"/>
      <c r="I208" s="89"/>
      <c r="J208" s="8"/>
      <c r="K208" s="8"/>
      <c r="L208" s="8"/>
      <c r="M208" s="8"/>
      <c r="N208" s="8"/>
      <c r="O208" s="8"/>
      <c r="P208" s="8"/>
      <c r="Q208" s="8"/>
      <c r="R208" s="8"/>
      <c r="S208" s="8"/>
      <c r="T208" s="8"/>
      <c r="U208" s="8"/>
      <c r="V208" s="8"/>
      <c r="W208" s="8"/>
      <c r="X208" s="8"/>
      <c r="Y208" s="8"/>
      <c r="Z208" s="8"/>
    </row>
    <row r="209" spans="1:26" ht="12.75" customHeight="1" x14ac:dyDescent="0.3">
      <c r="A209" s="8"/>
      <c r="B209" s="8"/>
      <c r="C209" s="8"/>
      <c r="D209" s="8"/>
      <c r="E209" s="8"/>
      <c r="F209" s="8"/>
      <c r="G209" s="8"/>
      <c r="H209" s="8"/>
      <c r="I209" s="89"/>
      <c r="J209" s="8"/>
      <c r="K209" s="8"/>
      <c r="L209" s="8"/>
      <c r="M209" s="8"/>
      <c r="N209" s="8"/>
      <c r="O209" s="8"/>
      <c r="P209" s="8"/>
      <c r="Q209" s="8"/>
      <c r="R209" s="8"/>
      <c r="S209" s="8"/>
      <c r="T209" s="8"/>
      <c r="U209" s="8"/>
      <c r="V209" s="8"/>
      <c r="W209" s="8"/>
      <c r="X209" s="8"/>
      <c r="Y209" s="8"/>
      <c r="Z209" s="8"/>
    </row>
    <row r="210" spans="1:26" ht="12.75" customHeight="1" x14ac:dyDescent="0.3">
      <c r="A210" s="8"/>
      <c r="B210" s="8"/>
      <c r="C210" s="8"/>
      <c r="D210" s="8"/>
      <c r="E210" s="8"/>
      <c r="F210" s="8"/>
      <c r="G210" s="8"/>
      <c r="H210" s="8"/>
      <c r="I210" s="89"/>
      <c r="J210" s="8"/>
      <c r="K210" s="8"/>
      <c r="L210" s="8"/>
      <c r="M210" s="8"/>
      <c r="N210" s="8"/>
      <c r="O210" s="8"/>
      <c r="P210" s="8"/>
      <c r="Q210" s="8"/>
      <c r="R210" s="8"/>
      <c r="S210" s="8"/>
      <c r="T210" s="8"/>
      <c r="U210" s="8"/>
      <c r="V210" s="8"/>
      <c r="W210" s="8"/>
      <c r="X210" s="8"/>
      <c r="Y210" s="8"/>
      <c r="Z210" s="8"/>
    </row>
    <row r="211" spans="1:26" ht="12.75" customHeight="1" x14ac:dyDescent="0.3">
      <c r="A211" s="8"/>
      <c r="B211" s="8"/>
      <c r="C211" s="8"/>
      <c r="D211" s="8"/>
      <c r="E211" s="8"/>
      <c r="F211" s="8"/>
      <c r="G211" s="8"/>
      <c r="H211" s="8"/>
      <c r="I211" s="89"/>
      <c r="J211" s="8"/>
      <c r="K211" s="8"/>
      <c r="L211" s="8"/>
      <c r="M211" s="8"/>
      <c r="N211" s="8"/>
      <c r="O211" s="8"/>
      <c r="P211" s="8"/>
      <c r="Q211" s="8"/>
      <c r="R211" s="8"/>
      <c r="S211" s="8"/>
      <c r="T211" s="8"/>
      <c r="U211" s="8"/>
      <c r="V211" s="8"/>
      <c r="W211" s="8"/>
      <c r="X211" s="8"/>
      <c r="Y211" s="8"/>
      <c r="Z211" s="8"/>
    </row>
    <row r="212" spans="1:26" ht="12.75" customHeight="1" x14ac:dyDescent="0.3">
      <c r="A212" s="8"/>
      <c r="B212" s="8"/>
      <c r="C212" s="8"/>
      <c r="D212" s="8"/>
      <c r="E212" s="8"/>
      <c r="F212" s="8"/>
      <c r="G212" s="8"/>
      <c r="H212" s="8"/>
      <c r="I212" s="89"/>
      <c r="J212" s="8"/>
      <c r="K212" s="8"/>
      <c r="L212" s="8"/>
      <c r="M212" s="8"/>
      <c r="N212" s="8"/>
      <c r="O212" s="8"/>
      <c r="P212" s="8"/>
      <c r="Q212" s="8"/>
      <c r="R212" s="8"/>
      <c r="S212" s="8"/>
      <c r="T212" s="8"/>
      <c r="U212" s="8"/>
      <c r="V212" s="8"/>
      <c r="W212" s="8"/>
      <c r="X212" s="8"/>
      <c r="Y212" s="8"/>
      <c r="Z212" s="8"/>
    </row>
    <row r="213" spans="1:26" ht="12.75" customHeight="1" x14ac:dyDescent="0.3">
      <c r="A213" s="8"/>
      <c r="B213" s="8"/>
      <c r="C213" s="8"/>
      <c r="D213" s="8"/>
      <c r="E213" s="8"/>
      <c r="F213" s="8"/>
      <c r="G213" s="8"/>
      <c r="H213" s="8"/>
      <c r="I213" s="89"/>
      <c r="J213" s="8"/>
      <c r="K213" s="8"/>
      <c r="L213" s="8"/>
      <c r="M213" s="8"/>
      <c r="N213" s="8"/>
      <c r="O213" s="8"/>
      <c r="P213" s="8"/>
      <c r="Q213" s="8"/>
      <c r="R213" s="8"/>
      <c r="S213" s="8"/>
      <c r="T213" s="8"/>
      <c r="U213" s="8"/>
      <c r="V213" s="8"/>
      <c r="W213" s="8"/>
      <c r="X213" s="8"/>
      <c r="Y213" s="8"/>
      <c r="Z213" s="8"/>
    </row>
    <row r="214" spans="1:26" ht="12.75" customHeight="1" x14ac:dyDescent="0.3">
      <c r="A214" s="8"/>
      <c r="B214" s="8"/>
      <c r="C214" s="8"/>
      <c r="D214" s="8"/>
      <c r="E214" s="8"/>
      <c r="F214" s="8"/>
      <c r="G214" s="8"/>
      <c r="H214" s="8"/>
      <c r="I214" s="89"/>
      <c r="J214" s="8"/>
      <c r="K214" s="8"/>
      <c r="L214" s="8"/>
      <c r="M214" s="8"/>
      <c r="N214" s="8"/>
      <c r="O214" s="8"/>
      <c r="P214" s="8"/>
      <c r="Q214" s="8"/>
      <c r="R214" s="8"/>
      <c r="S214" s="8"/>
      <c r="T214" s="8"/>
      <c r="U214" s="8"/>
      <c r="V214" s="8"/>
      <c r="W214" s="8"/>
      <c r="X214" s="8"/>
      <c r="Y214" s="8"/>
      <c r="Z214" s="8"/>
    </row>
    <row r="215" spans="1:26" ht="12.75" customHeight="1" x14ac:dyDescent="0.3">
      <c r="A215" s="8"/>
      <c r="B215" s="8"/>
      <c r="C215" s="8"/>
      <c r="D215" s="8"/>
      <c r="E215" s="8"/>
      <c r="F215" s="8"/>
      <c r="G215" s="8"/>
      <c r="H215" s="8"/>
      <c r="I215" s="89"/>
      <c r="J215" s="8"/>
      <c r="K215" s="8"/>
      <c r="L215" s="8"/>
      <c r="M215" s="8"/>
      <c r="N215" s="8"/>
      <c r="O215" s="8"/>
      <c r="P215" s="8"/>
      <c r="Q215" s="8"/>
      <c r="R215" s="8"/>
      <c r="S215" s="8"/>
      <c r="T215" s="8"/>
      <c r="U215" s="8"/>
      <c r="V215" s="8"/>
      <c r="W215" s="8"/>
      <c r="X215" s="8"/>
      <c r="Y215" s="8"/>
      <c r="Z215" s="8"/>
    </row>
    <row r="216" spans="1:26" ht="12.75" customHeight="1" x14ac:dyDescent="0.3">
      <c r="A216" s="8"/>
      <c r="B216" s="8"/>
      <c r="C216" s="8"/>
      <c r="D216" s="8"/>
      <c r="E216" s="8"/>
      <c r="F216" s="8"/>
      <c r="G216" s="8"/>
      <c r="H216" s="8"/>
      <c r="I216" s="89"/>
      <c r="J216" s="8"/>
      <c r="K216" s="8"/>
      <c r="L216" s="8"/>
      <c r="M216" s="8"/>
      <c r="N216" s="8"/>
      <c r="O216" s="8"/>
      <c r="P216" s="8"/>
      <c r="Q216" s="8"/>
      <c r="R216" s="8"/>
      <c r="S216" s="8"/>
      <c r="T216" s="8"/>
      <c r="U216" s="8"/>
      <c r="V216" s="8"/>
      <c r="W216" s="8"/>
      <c r="X216" s="8"/>
      <c r="Y216" s="8"/>
      <c r="Z216" s="8"/>
    </row>
    <row r="217" spans="1:26" ht="12.75" customHeight="1" x14ac:dyDescent="0.3">
      <c r="A217" s="8"/>
      <c r="B217" s="8"/>
      <c r="C217" s="8"/>
      <c r="D217" s="8"/>
      <c r="E217" s="8"/>
      <c r="F217" s="8"/>
      <c r="G217" s="8"/>
      <c r="H217" s="8"/>
      <c r="I217" s="89"/>
      <c r="J217" s="8"/>
      <c r="K217" s="8"/>
      <c r="L217" s="8"/>
      <c r="M217" s="8"/>
      <c r="N217" s="8"/>
      <c r="O217" s="8"/>
      <c r="P217" s="8"/>
      <c r="Q217" s="8"/>
      <c r="R217" s="8"/>
      <c r="S217" s="8"/>
      <c r="T217" s="8"/>
      <c r="U217" s="8"/>
      <c r="V217" s="8"/>
      <c r="W217" s="8"/>
      <c r="X217" s="8"/>
      <c r="Y217" s="8"/>
      <c r="Z217" s="8"/>
    </row>
    <row r="218" spans="1:26" ht="12.75" customHeight="1" x14ac:dyDescent="0.3">
      <c r="A218" s="8"/>
      <c r="B218" s="8"/>
      <c r="C218" s="8"/>
      <c r="D218" s="8"/>
      <c r="E218" s="8"/>
      <c r="F218" s="8"/>
      <c r="G218" s="8"/>
      <c r="H218" s="8"/>
      <c r="I218" s="89"/>
      <c r="J218" s="8"/>
      <c r="K218" s="8"/>
      <c r="L218" s="8"/>
      <c r="M218" s="8"/>
      <c r="N218" s="8"/>
      <c r="O218" s="8"/>
      <c r="P218" s="8"/>
      <c r="Q218" s="8"/>
      <c r="R218" s="8"/>
      <c r="S218" s="8"/>
      <c r="T218" s="8"/>
      <c r="U218" s="8"/>
      <c r="V218" s="8"/>
      <c r="W218" s="8"/>
      <c r="X218" s="8"/>
      <c r="Y218" s="8"/>
      <c r="Z218" s="8"/>
    </row>
    <row r="219" spans="1:26" ht="12.75" customHeight="1" x14ac:dyDescent="0.3">
      <c r="A219" s="8"/>
      <c r="B219" s="8"/>
      <c r="C219" s="8"/>
      <c r="D219" s="8"/>
      <c r="E219" s="8"/>
      <c r="F219" s="8"/>
      <c r="G219" s="8"/>
      <c r="H219" s="8"/>
      <c r="I219" s="89"/>
      <c r="J219" s="8"/>
      <c r="K219" s="8"/>
      <c r="L219" s="8"/>
      <c r="M219" s="8"/>
      <c r="N219" s="8"/>
      <c r="O219" s="8"/>
      <c r="P219" s="8"/>
      <c r="Q219" s="8"/>
      <c r="R219" s="8"/>
      <c r="S219" s="8"/>
      <c r="T219" s="8"/>
      <c r="U219" s="8"/>
      <c r="V219" s="8"/>
      <c r="W219" s="8"/>
      <c r="X219" s="8"/>
      <c r="Y219" s="8"/>
      <c r="Z219" s="8"/>
    </row>
    <row r="220" spans="1:26" ht="12.75" customHeight="1" x14ac:dyDescent="0.3">
      <c r="A220" s="8"/>
      <c r="B220" s="8"/>
      <c r="C220" s="8"/>
      <c r="D220" s="8"/>
      <c r="E220" s="8"/>
      <c r="F220" s="8"/>
      <c r="G220" s="8"/>
      <c r="H220" s="8"/>
      <c r="I220" s="89"/>
      <c r="J220" s="8"/>
      <c r="K220" s="8"/>
      <c r="L220" s="8"/>
      <c r="M220" s="8"/>
      <c r="N220" s="8"/>
      <c r="O220" s="8"/>
      <c r="P220" s="8"/>
      <c r="Q220" s="8"/>
      <c r="R220" s="8"/>
      <c r="S220" s="8"/>
      <c r="T220" s="8"/>
      <c r="U220" s="8"/>
      <c r="V220" s="8"/>
      <c r="W220" s="8"/>
      <c r="X220" s="8"/>
      <c r="Y220" s="8"/>
      <c r="Z220" s="8"/>
    </row>
    <row r="221" spans="1:26" ht="12.75" customHeight="1" x14ac:dyDescent="0.3">
      <c r="A221" s="8"/>
      <c r="B221" s="8"/>
      <c r="C221" s="8"/>
      <c r="D221" s="8"/>
      <c r="E221" s="8"/>
      <c r="F221" s="8"/>
      <c r="G221" s="8"/>
      <c r="H221" s="8"/>
      <c r="I221" s="89"/>
      <c r="J221" s="8"/>
      <c r="K221" s="8"/>
      <c r="L221" s="8"/>
      <c r="M221" s="8"/>
      <c r="N221" s="8"/>
      <c r="O221" s="8"/>
      <c r="P221" s="8"/>
      <c r="Q221" s="8"/>
      <c r="R221" s="8"/>
      <c r="S221" s="8"/>
      <c r="T221" s="8"/>
      <c r="U221" s="8"/>
      <c r="V221" s="8"/>
      <c r="W221" s="8"/>
      <c r="X221" s="8"/>
      <c r="Y221" s="8"/>
      <c r="Z221" s="8"/>
    </row>
    <row r="222" spans="1:26" ht="12.75" customHeight="1" x14ac:dyDescent="0.3">
      <c r="A222" s="8"/>
      <c r="B222" s="8"/>
      <c r="C222" s="8"/>
      <c r="D222" s="8"/>
      <c r="E222" s="8"/>
      <c r="F222" s="8"/>
      <c r="G222" s="8"/>
      <c r="H222" s="8"/>
      <c r="I222" s="89"/>
      <c r="J222" s="8"/>
      <c r="K222" s="8"/>
      <c r="L222" s="8"/>
      <c r="M222" s="8"/>
      <c r="N222" s="8"/>
      <c r="O222" s="8"/>
      <c r="P222" s="8"/>
      <c r="Q222" s="8"/>
      <c r="R222" s="8"/>
      <c r="S222" s="8"/>
      <c r="T222" s="8"/>
      <c r="U222" s="8"/>
      <c r="V222" s="8"/>
      <c r="W222" s="8"/>
      <c r="X222" s="8"/>
      <c r="Y222" s="8"/>
      <c r="Z222" s="8"/>
    </row>
    <row r="223" spans="1:26" ht="12.75" customHeight="1" x14ac:dyDescent="0.3">
      <c r="A223" s="8"/>
      <c r="B223" s="8"/>
      <c r="C223" s="8"/>
      <c r="D223" s="8"/>
      <c r="E223" s="8"/>
      <c r="F223" s="8"/>
      <c r="G223" s="8"/>
      <c r="H223" s="8"/>
      <c r="I223" s="89"/>
      <c r="J223" s="8"/>
      <c r="K223" s="8"/>
      <c r="L223" s="8"/>
      <c r="M223" s="8"/>
      <c r="N223" s="8"/>
      <c r="O223" s="8"/>
      <c r="P223" s="8"/>
      <c r="Q223" s="8"/>
      <c r="R223" s="8"/>
      <c r="S223" s="8"/>
      <c r="T223" s="8"/>
      <c r="U223" s="8"/>
      <c r="V223" s="8"/>
      <c r="W223" s="8"/>
      <c r="X223" s="8"/>
      <c r="Y223" s="8"/>
      <c r="Z223" s="8"/>
    </row>
    <row r="224" spans="1:26" ht="12.75" customHeight="1" x14ac:dyDescent="0.3">
      <c r="A224" s="8"/>
      <c r="B224" s="8"/>
      <c r="C224" s="8"/>
      <c r="D224" s="8"/>
      <c r="E224" s="8"/>
      <c r="F224" s="8"/>
      <c r="G224" s="8"/>
      <c r="H224" s="8"/>
      <c r="I224" s="89"/>
      <c r="J224" s="8"/>
      <c r="K224" s="8"/>
      <c r="L224" s="8"/>
      <c r="M224" s="8"/>
      <c r="N224" s="8"/>
      <c r="O224" s="8"/>
      <c r="P224" s="8"/>
      <c r="Q224" s="8"/>
      <c r="R224" s="8"/>
      <c r="S224" s="8"/>
      <c r="T224" s="8"/>
      <c r="U224" s="8"/>
      <c r="V224" s="8"/>
      <c r="W224" s="8"/>
      <c r="X224" s="8"/>
      <c r="Y224" s="8"/>
      <c r="Z224" s="8"/>
    </row>
    <row r="225" spans="1:26" ht="12.75" customHeight="1" x14ac:dyDescent="0.3">
      <c r="A225" s="8"/>
      <c r="B225" s="8"/>
      <c r="C225" s="8"/>
      <c r="D225" s="8"/>
      <c r="E225" s="8"/>
      <c r="F225" s="8"/>
      <c r="G225" s="8"/>
      <c r="H225" s="8"/>
      <c r="I225" s="89"/>
      <c r="J225" s="8"/>
      <c r="K225" s="8"/>
      <c r="L225" s="8"/>
      <c r="M225" s="8"/>
      <c r="N225" s="8"/>
      <c r="O225" s="8"/>
      <c r="P225" s="8"/>
      <c r="Q225" s="8"/>
      <c r="R225" s="8"/>
      <c r="S225" s="8"/>
      <c r="T225" s="8"/>
      <c r="U225" s="8"/>
      <c r="V225" s="8"/>
      <c r="W225" s="8"/>
      <c r="X225" s="8"/>
      <c r="Y225" s="8"/>
      <c r="Z225" s="8"/>
    </row>
    <row r="226" spans="1:26" ht="12.75" customHeight="1" x14ac:dyDescent="0.3">
      <c r="A226" s="8"/>
      <c r="B226" s="8"/>
      <c r="C226" s="8"/>
      <c r="D226" s="8"/>
      <c r="E226" s="8"/>
      <c r="F226" s="8"/>
      <c r="G226" s="8"/>
      <c r="H226" s="8"/>
      <c r="I226" s="89"/>
      <c r="J226" s="8"/>
      <c r="K226" s="8"/>
      <c r="L226" s="8"/>
      <c r="M226" s="8"/>
      <c r="N226" s="8"/>
      <c r="O226" s="8"/>
      <c r="P226" s="8"/>
      <c r="Q226" s="8"/>
      <c r="R226" s="8"/>
      <c r="S226" s="8"/>
      <c r="T226" s="8"/>
      <c r="U226" s="8"/>
      <c r="V226" s="8"/>
      <c r="W226" s="8"/>
      <c r="X226" s="8"/>
      <c r="Y226" s="8"/>
      <c r="Z226" s="8"/>
    </row>
    <row r="227" spans="1:26" ht="12.75" customHeight="1" x14ac:dyDescent="0.3">
      <c r="A227" s="8"/>
      <c r="B227" s="8"/>
      <c r="C227" s="8"/>
      <c r="D227" s="8"/>
      <c r="E227" s="8"/>
      <c r="F227" s="8"/>
      <c r="G227" s="8"/>
      <c r="H227" s="8"/>
      <c r="I227" s="89"/>
      <c r="J227" s="8"/>
      <c r="K227" s="8"/>
      <c r="L227" s="8"/>
      <c r="M227" s="8"/>
      <c r="N227" s="8"/>
      <c r="O227" s="8"/>
      <c r="P227" s="8"/>
      <c r="Q227" s="8"/>
      <c r="R227" s="8"/>
      <c r="S227" s="8"/>
      <c r="T227" s="8"/>
      <c r="U227" s="8"/>
      <c r="V227" s="8"/>
      <c r="W227" s="8"/>
      <c r="X227" s="8"/>
      <c r="Y227" s="8"/>
      <c r="Z227" s="8"/>
    </row>
    <row r="228" spans="1:26" ht="12.75" customHeight="1" x14ac:dyDescent="0.3">
      <c r="A228" s="8"/>
      <c r="B228" s="8"/>
      <c r="C228" s="8"/>
      <c r="D228" s="8"/>
      <c r="E228" s="8"/>
      <c r="F228" s="8"/>
      <c r="G228" s="8"/>
      <c r="H228" s="8"/>
      <c r="I228" s="89"/>
      <c r="J228" s="8"/>
      <c r="K228" s="8"/>
      <c r="L228" s="8"/>
      <c r="M228" s="8"/>
      <c r="N228" s="8"/>
      <c r="O228" s="8"/>
      <c r="P228" s="8"/>
      <c r="Q228" s="8"/>
      <c r="R228" s="8"/>
      <c r="S228" s="8"/>
      <c r="T228" s="8"/>
      <c r="U228" s="8"/>
      <c r="V228" s="8"/>
      <c r="W228" s="8"/>
      <c r="X228" s="8"/>
      <c r="Y228" s="8"/>
      <c r="Z228" s="8"/>
    </row>
    <row r="229" spans="1:26" ht="12.75" customHeight="1" x14ac:dyDescent="0.3">
      <c r="A229" s="8"/>
      <c r="B229" s="8"/>
      <c r="C229" s="8"/>
      <c r="D229" s="8"/>
      <c r="E229" s="8"/>
      <c r="F229" s="8"/>
      <c r="G229" s="8"/>
      <c r="H229" s="8"/>
      <c r="I229" s="89"/>
      <c r="J229" s="8"/>
      <c r="K229" s="8"/>
      <c r="L229" s="8"/>
      <c r="M229" s="8"/>
      <c r="N229" s="8"/>
      <c r="O229" s="8"/>
      <c r="P229" s="8"/>
      <c r="Q229" s="8"/>
      <c r="R229" s="8"/>
      <c r="S229" s="8"/>
      <c r="T229" s="8"/>
      <c r="U229" s="8"/>
      <c r="V229" s="8"/>
      <c r="W229" s="8"/>
      <c r="X229" s="8"/>
      <c r="Y229" s="8"/>
      <c r="Z229" s="8"/>
    </row>
    <row r="230" spans="1:26" ht="12.75" customHeight="1" x14ac:dyDescent="0.3">
      <c r="A230" s="8"/>
      <c r="B230" s="8"/>
      <c r="C230" s="8"/>
      <c r="D230" s="8"/>
      <c r="E230" s="8"/>
      <c r="F230" s="8"/>
      <c r="G230" s="8"/>
      <c r="H230" s="8"/>
      <c r="I230" s="89"/>
      <c r="J230" s="8"/>
      <c r="K230" s="8"/>
      <c r="L230" s="8"/>
      <c r="M230" s="8"/>
      <c r="N230" s="8"/>
      <c r="O230" s="8"/>
      <c r="P230" s="8"/>
      <c r="Q230" s="8"/>
      <c r="R230" s="8"/>
      <c r="S230" s="8"/>
      <c r="T230" s="8"/>
      <c r="U230" s="8"/>
      <c r="V230" s="8"/>
      <c r="W230" s="8"/>
      <c r="X230" s="8"/>
      <c r="Y230" s="8"/>
      <c r="Z230" s="8"/>
    </row>
    <row r="231" spans="1:26" ht="12.75" customHeight="1" x14ac:dyDescent="0.3">
      <c r="A231" s="8"/>
      <c r="B231" s="8"/>
      <c r="C231" s="8"/>
      <c r="D231" s="8"/>
      <c r="E231" s="8"/>
      <c r="F231" s="8"/>
      <c r="G231" s="8"/>
      <c r="H231" s="8"/>
      <c r="I231" s="89"/>
      <c r="J231" s="8"/>
      <c r="K231" s="8"/>
      <c r="L231" s="8"/>
      <c r="M231" s="8"/>
      <c r="N231" s="8"/>
      <c r="O231" s="8"/>
      <c r="P231" s="8"/>
      <c r="Q231" s="8"/>
      <c r="R231" s="8"/>
      <c r="S231" s="8"/>
      <c r="T231" s="8"/>
      <c r="U231" s="8"/>
      <c r="V231" s="8"/>
      <c r="W231" s="8"/>
      <c r="X231" s="8"/>
      <c r="Y231" s="8"/>
      <c r="Z231" s="8"/>
    </row>
    <row r="232" spans="1:26" ht="12.75" customHeight="1" x14ac:dyDescent="0.3">
      <c r="A232" s="8"/>
      <c r="B232" s="8"/>
      <c r="C232" s="8"/>
      <c r="D232" s="8"/>
      <c r="E232" s="8"/>
      <c r="F232" s="8"/>
      <c r="G232" s="8"/>
      <c r="H232" s="8"/>
      <c r="I232" s="89"/>
      <c r="J232" s="8"/>
      <c r="K232" s="8"/>
      <c r="L232" s="8"/>
      <c r="M232" s="8"/>
      <c r="N232" s="8"/>
      <c r="O232" s="8"/>
      <c r="P232" s="8"/>
      <c r="Q232" s="8"/>
      <c r="R232" s="8"/>
      <c r="S232" s="8"/>
      <c r="T232" s="8"/>
      <c r="U232" s="8"/>
      <c r="V232" s="8"/>
      <c r="W232" s="8"/>
      <c r="X232" s="8"/>
      <c r="Y232" s="8"/>
      <c r="Z232" s="8"/>
    </row>
    <row r="233" spans="1:26" ht="12.75" customHeight="1" x14ac:dyDescent="0.3">
      <c r="A233" s="8"/>
      <c r="B233" s="8"/>
      <c r="C233" s="8"/>
      <c r="D233" s="8"/>
      <c r="E233" s="8"/>
      <c r="F233" s="8"/>
      <c r="G233" s="8"/>
      <c r="H233" s="8"/>
      <c r="I233" s="89"/>
      <c r="J233" s="8"/>
      <c r="K233" s="8"/>
      <c r="L233" s="8"/>
      <c r="M233" s="8"/>
      <c r="N233" s="8"/>
      <c r="O233" s="8"/>
      <c r="P233" s="8"/>
      <c r="Q233" s="8"/>
      <c r="R233" s="8"/>
      <c r="S233" s="8"/>
      <c r="T233" s="8"/>
      <c r="U233" s="8"/>
      <c r="V233" s="8"/>
      <c r="W233" s="8"/>
      <c r="X233" s="8"/>
      <c r="Y233" s="8"/>
      <c r="Z233" s="8"/>
    </row>
    <row r="234" spans="1:26" ht="12.75" customHeight="1" x14ac:dyDescent="0.3">
      <c r="A234" s="8"/>
      <c r="B234" s="8"/>
      <c r="C234" s="8"/>
      <c r="D234" s="8"/>
      <c r="E234" s="8"/>
      <c r="F234" s="8"/>
      <c r="G234" s="8"/>
      <c r="H234" s="8"/>
      <c r="I234" s="89"/>
      <c r="J234" s="8"/>
      <c r="K234" s="8"/>
      <c r="L234" s="8"/>
      <c r="M234" s="8"/>
      <c r="N234" s="8"/>
      <c r="O234" s="8"/>
      <c r="P234" s="8"/>
      <c r="Q234" s="8"/>
      <c r="R234" s="8"/>
      <c r="S234" s="8"/>
      <c r="T234" s="8"/>
      <c r="U234" s="8"/>
      <c r="V234" s="8"/>
      <c r="W234" s="8"/>
      <c r="X234" s="8"/>
      <c r="Y234" s="8"/>
      <c r="Z234" s="8"/>
    </row>
    <row r="235" spans="1:26" ht="12.75" customHeight="1" x14ac:dyDescent="0.3">
      <c r="A235" s="8"/>
      <c r="B235" s="8"/>
      <c r="C235" s="8"/>
      <c r="D235" s="8"/>
      <c r="E235" s="8"/>
      <c r="F235" s="8"/>
      <c r="G235" s="8"/>
      <c r="H235" s="8"/>
      <c r="I235" s="89"/>
      <c r="J235" s="8"/>
      <c r="K235" s="8"/>
      <c r="L235" s="8"/>
      <c r="M235" s="8"/>
      <c r="N235" s="8"/>
      <c r="O235" s="8"/>
      <c r="P235" s="8"/>
      <c r="Q235" s="8"/>
      <c r="R235" s="8"/>
      <c r="S235" s="8"/>
      <c r="T235" s="8"/>
      <c r="U235" s="8"/>
      <c r="V235" s="8"/>
      <c r="W235" s="8"/>
      <c r="X235" s="8"/>
      <c r="Y235" s="8"/>
      <c r="Z235" s="8"/>
    </row>
    <row r="236" spans="1:26" ht="12.75" customHeight="1" x14ac:dyDescent="0.3">
      <c r="A236" s="8"/>
      <c r="B236" s="8"/>
      <c r="C236" s="8"/>
      <c r="D236" s="8"/>
      <c r="E236" s="8"/>
      <c r="F236" s="8"/>
      <c r="G236" s="8"/>
      <c r="H236" s="8"/>
      <c r="I236" s="89"/>
      <c r="J236" s="8"/>
      <c r="K236" s="8"/>
      <c r="L236" s="8"/>
      <c r="M236" s="8"/>
      <c r="N236" s="8"/>
      <c r="O236" s="8"/>
      <c r="P236" s="8"/>
      <c r="Q236" s="8"/>
      <c r="R236" s="8"/>
      <c r="S236" s="8"/>
      <c r="T236" s="8"/>
      <c r="U236" s="8"/>
      <c r="V236" s="8"/>
      <c r="W236" s="8"/>
      <c r="X236" s="8"/>
      <c r="Y236" s="8"/>
      <c r="Z236" s="8"/>
    </row>
    <row r="237" spans="1:26" ht="12.75" customHeight="1" x14ac:dyDescent="0.3">
      <c r="A237" s="8"/>
      <c r="B237" s="8"/>
      <c r="C237" s="8"/>
      <c r="D237" s="8"/>
      <c r="E237" s="8"/>
      <c r="F237" s="8"/>
      <c r="G237" s="8"/>
      <c r="H237" s="8"/>
      <c r="I237" s="89"/>
      <c r="J237" s="8"/>
      <c r="K237" s="8"/>
      <c r="L237" s="8"/>
      <c r="M237" s="8"/>
      <c r="N237" s="8"/>
      <c r="O237" s="8"/>
      <c r="P237" s="8"/>
      <c r="Q237" s="8"/>
      <c r="R237" s="8"/>
      <c r="S237" s="8"/>
      <c r="T237" s="8"/>
      <c r="U237" s="8"/>
      <c r="V237" s="8"/>
      <c r="W237" s="8"/>
      <c r="X237" s="8"/>
      <c r="Y237" s="8"/>
      <c r="Z237" s="8"/>
    </row>
    <row r="238" spans="1:26" ht="12.75" customHeight="1" x14ac:dyDescent="0.3">
      <c r="A238" s="8"/>
      <c r="B238" s="8"/>
      <c r="C238" s="8"/>
      <c r="D238" s="8"/>
      <c r="E238" s="8"/>
      <c r="F238" s="8"/>
      <c r="G238" s="8"/>
      <c r="H238" s="8"/>
      <c r="I238" s="89"/>
      <c r="J238" s="8"/>
      <c r="K238" s="8"/>
      <c r="L238" s="8"/>
      <c r="M238" s="8"/>
      <c r="N238" s="8"/>
      <c r="O238" s="8"/>
      <c r="P238" s="8"/>
      <c r="Q238" s="8"/>
      <c r="R238" s="8"/>
      <c r="S238" s="8"/>
      <c r="T238" s="8"/>
      <c r="U238" s="8"/>
      <c r="V238" s="8"/>
      <c r="W238" s="8"/>
      <c r="X238" s="8"/>
      <c r="Y238" s="8"/>
      <c r="Z238" s="8"/>
    </row>
    <row r="239" spans="1:26" ht="12.75" customHeight="1" x14ac:dyDescent="0.3">
      <c r="A239" s="8"/>
      <c r="B239" s="8"/>
      <c r="C239" s="8"/>
      <c r="D239" s="8"/>
      <c r="E239" s="8"/>
      <c r="F239" s="8"/>
      <c r="G239" s="8"/>
      <c r="H239" s="8"/>
      <c r="I239" s="89"/>
      <c r="J239" s="8"/>
      <c r="K239" s="8"/>
      <c r="L239" s="8"/>
      <c r="M239" s="8"/>
      <c r="N239" s="8"/>
      <c r="O239" s="8"/>
      <c r="P239" s="8"/>
      <c r="Q239" s="8"/>
      <c r="R239" s="8"/>
      <c r="S239" s="8"/>
      <c r="T239" s="8"/>
      <c r="U239" s="8"/>
      <c r="V239" s="8"/>
      <c r="W239" s="8"/>
      <c r="X239" s="8"/>
      <c r="Y239" s="8"/>
      <c r="Z239" s="8"/>
    </row>
    <row r="240" spans="1:26" ht="12.75" customHeight="1" x14ac:dyDescent="0.3">
      <c r="A240" s="8"/>
      <c r="B240" s="8"/>
      <c r="C240" s="8"/>
      <c r="D240" s="8"/>
      <c r="E240" s="8"/>
      <c r="F240" s="8"/>
      <c r="G240" s="8"/>
      <c r="H240" s="8"/>
      <c r="I240" s="89"/>
      <c r="J240" s="8"/>
      <c r="K240" s="8"/>
      <c r="L240" s="8"/>
      <c r="M240" s="8"/>
      <c r="N240" s="8"/>
      <c r="O240" s="8"/>
      <c r="P240" s="8"/>
      <c r="Q240" s="8"/>
      <c r="R240" s="8"/>
      <c r="S240" s="8"/>
      <c r="T240" s="8"/>
      <c r="U240" s="8"/>
      <c r="V240" s="8"/>
      <c r="W240" s="8"/>
      <c r="X240" s="8"/>
      <c r="Y240" s="8"/>
      <c r="Z240" s="8"/>
    </row>
    <row r="241" spans="1:26" ht="12.75" customHeight="1" x14ac:dyDescent="0.3">
      <c r="A241" s="8"/>
      <c r="B241" s="8"/>
      <c r="C241" s="8"/>
      <c r="D241" s="8"/>
      <c r="E241" s="8"/>
      <c r="F241" s="8"/>
      <c r="G241" s="8"/>
      <c r="H241" s="8"/>
      <c r="I241" s="89"/>
      <c r="J241" s="8"/>
      <c r="K241" s="8"/>
      <c r="L241" s="8"/>
      <c r="M241" s="8"/>
      <c r="N241" s="8"/>
      <c r="O241" s="8"/>
      <c r="P241" s="8"/>
      <c r="Q241" s="8"/>
      <c r="R241" s="8"/>
      <c r="S241" s="8"/>
      <c r="T241" s="8"/>
      <c r="U241" s="8"/>
      <c r="V241" s="8"/>
      <c r="W241" s="8"/>
      <c r="X241" s="8"/>
      <c r="Y241" s="8"/>
      <c r="Z241" s="8"/>
    </row>
    <row r="242" spans="1:26" ht="12.75" customHeight="1" x14ac:dyDescent="0.3">
      <c r="A242" s="8"/>
      <c r="B242" s="8"/>
      <c r="C242" s="8"/>
      <c r="D242" s="8"/>
      <c r="E242" s="8"/>
      <c r="F242" s="8"/>
      <c r="G242" s="8"/>
      <c r="H242" s="8"/>
      <c r="I242" s="89"/>
      <c r="J242" s="8"/>
      <c r="K242" s="8"/>
      <c r="L242" s="8"/>
      <c r="M242" s="8"/>
      <c r="N242" s="8"/>
      <c r="O242" s="8"/>
      <c r="P242" s="8"/>
      <c r="Q242" s="8"/>
      <c r="R242" s="8"/>
      <c r="S242" s="8"/>
      <c r="T242" s="8"/>
      <c r="U242" s="8"/>
      <c r="V242" s="8"/>
      <c r="W242" s="8"/>
      <c r="X242" s="8"/>
      <c r="Y242" s="8"/>
      <c r="Z242" s="8"/>
    </row>
    <row r="243" spans="1:26" ht="12.75" customHeight="1" x14ac:dyDescent="0.3">
      <c r="A243" s="8"/>
      <c r="B243" s="8"/>
      <c r="C243" s="8"/>
      <c r="D243" s="8"/>
      <c r="E243" s="8"/>
      <c r="F243" s="8"/>
      <c r="G243" s="8"/>
      <c r="H243" s="8"/>
      <c r="I243" s="89"/>
      <c r="J243" s="8"/>
      <c r="K243" s="8"/>
      <c r="L243" s="8"/>
      <c r="M243" s="8"/>
      <c r="N243" s="8"/>
      <c r="O243" s="8"/>
      <c r="P243" s="8"/>
      <c r="Q243" s="8"/>
      <c r="R243" s="8"/>
      <c r="S243" s="8"/>
      <c r="T243" s="8"/>
      <c r="U243" s="8"/>
      <c r="V243" s="8"/>
      <c r="W243" s="8"/>
      <c r="X243" s="8"/>
      <c r="Y243" s="8"/>
      <c r="Z243" s="8"/>
    </row>
    <row r="244" spans="1:26" ht="12.75" customHeight="1" x14ac:dyDescent="0.3">
      <c r="A244" s="8"/>
      <c r="B244" s="8"/>
      <c r="C244" s="8"/>
      <c r="D244" s="8"/>
      <c r="E244" s="8"/>
      <c r="F244" s="8"/>
      <c r="G244" s="8"/>
      <c r="H244" s="8"/>
      <c r="I244" s="89"/>
      <c r="J244" s="8"/>
      <c r="K244" s="8"/>
      <c r="L244" s="8"/>
      <c r="M244" s="8"/>
      <c r="N244" s="8"/>
      <c r="O244" s="8"/>
      <c r="P244" s="8"/>
      <c r="Q244" s="8"/>
      <c r="R244" s="8"/>
      <c r="S244" s="8"/>
      <c r="T244" s="8"/>
      <c r="U244" s="8"/>
      <c r="V244" s="8"/>
      <c r="W244" s="8"/>
      <c r="X244" s="8"/>
      <c r="Y244" s="8"/>
      <c r="Z244" s="8"/>
    </row>
    <row r="245" spans="1:26" ht="12.75" customHeight="1" x14ac:dyDescent="0.3">
      <c r="A245" s="8"/>
      <c r="B245" s="8"/>
      <c r="C245" s="8"/>
      <c r="D245" s="8"/>
      <c r="E245" s="8"/>
      <c r="F245" s="8"/>
      <c r="G245" s="8"/>
      <c r="H245" s="8"/>
      <c r="I245" s="89"/>
      <c r="J245" s="8"/>
      <c r="K245" s="8"/>
      <c r="L245" s="8"/>
      <c r="M245" s="8"/>
      <c r="N245" s="8"/>
      <c r="O245" s="8"/>
      <c r="P245" s="8"/>
      <c r="Q245" s="8"/>
      <c r="R245" s="8"/>
      <c r="S245" s="8"/>
      <c r="T245" s="8"/>
      <c r="U245" s="8"/>
      <c r="V245" s="8"/>
      <c r="W245" s="8"/>
      <c r="X245" s="8"/>
      <c r="Y245" s="8"/>
      <c r="Z245" s="8"/>
    </row>
    <row r="246" spans="1:26" ht="12.75" customHeight="1" x14ac:dyDescent="0.3">
      <c r="A246" s="8"/>
      <c r="B246" s="8"/>
      <c r="C246" s="8"/>
      <c r="D246" s="8"/>
      <c r="E246" s="8"/>
      <c r="F246" s="8"/>
      <c r="G246" s="8"/>
      <c r="H246" s="8"/>
      <c r="I246" s="89"/>
      <c r="J246" s="8"/>
      <c r="K246" s="8"/>
      <c r="L246" s="8"/>
      <c r="M246" s="8"/>
      <c r="N246" s="8"/>
      <c r="O246" s="8"/>
      <c r="P246" s="8"/>
      <c r="Q246" s="8"/>
      <c r="R246" s="8"/>
      <c r="S246" s="8"/>
      <c r="T246" s="8"/>
      <c r="U246" s="8"/>
      <c r="V246" s="8"/>
      <c r="W246" s="8"/>
      <c r="X246" s="8"/>
      <c r="Y246" s="8"/>
      <c r="Z246" s="8"/>
    </row>
    <row r="247" spans="1:26" ht="12.75" customHeight="1" x14ac:dyDescent="0.3">
      <c r="A247" s="8"/>
      <c r="B247" s="8"/>
      <c r="C247" s="8"/>
      <c r="D247" s="8"/>
      <c r="E247" s="8"/>
      <c r="F247" s="8"/>
      <c r="G247" s="8"/>
      <c r="H247" s="8"/>
      <c r="I247" s="89"/>
      <c r="J247" s="8"/>
      <c r="K247" s="8"/>
      <c r="L247" s="8"/>
      <c r="M247" s="8"/>
      <c r="N247" s="8"/>
      <c r="O247" s="8"/>
      <c r="P247" s="8"/>
      <c r="Q247" s="8"/>
      <c r="R247" s="8"/>
      <c r="S247" s="8"/>
      <c r="T247" s="8"/>
      <c r="U247" s="8"/>
      <c r="V247" s="8"/>
      <c r="W247" s="8"/>
      <c r="X247" s="8"/>
      <c r="Y247" s="8"/>
      <c r="Z247" s="8"/>
    </row>
    <row r="248" spans="1:26" ht="12.75" customHeight="1" x14ac:dyDescent="0.3">
      <c r="A248" s="8"/>
      <c r="B248" s="8"/>
      <c r="C248" s="8"/>
      <c r="D248" s="8"/>
      <c r="E248" s="8"/>
      <c r="F248" s="8"/>
      <c r="G248" s="8"/>
      <c r="H248" s="8"/>
      <c r="I248" s="89"/>
      <c r="J248" s="8"/>
      <c r="K248" s="8"/>
      <c r="L248" s="8"/>
      <c r="M248" s="8"/>
      <c r="N248" s="8"/>
      <c r="O248" s="8"/>
      <c r="P248" s="8"/>
      <c r="Q248" s="8"/>
      <c r="R248" s="8"/>
      <c r="S248" s="8"/>
      <c r="T248" s="8"/>
      <c r="U248" s="8"/>
      <c r="V248" s="8"/>
      <c r="W248" s="8"/>
      <c r="X248" s="8"/>
      <c r="Y248" s="8"/>
      <c r="Z248" s="8"/>
    </row>
    <row r="249" spans="1:26" ht="12.75" customHeight="1" x14ac:dyDescent="0.3">
      <c r="A249" s="8"/>
      <c r="B249" s="8"/>
      <c r="C249" s="8"/>
      <c r="D249" s="8"/>
      <c r="E249" s="8"/>
      <c r="F249" s="8"/>
      <c r="G249" s="8"/>
      <c r="H249" s="8"/>
      <c r="I249" s="89"/>
      <c r="J249" s="8"/>
      <c r="K249" s="8"/>
      <c r="L249" s="8"/>
      <c r="M249" s="8"/>
      <c r="N249" s="8"/>
      <c r="O249" s="8"/>
      <c r="P249" s="8"/>
      <c r="Q249" s="8"/>
      <c r="R249" s="8"/>
      <c r="S249" s="8"/>
      <c r="T249" s="8"/>
      <c r="U249" s="8"/>
      <c r="V249" s="8"/>
      <c r="W249" s="8"/>
      <c r="X249" s="8"/>
      <c r="Y249" s="8"/>
      <c r="Z249" s="8"/>
    </row>
    <row r="250" spans="1:26" ht="12.75" customHeight="1" x14ac:dyDescent="0.3">
      <c r="A250" s="8"/>
      <c r="B250" s="8"/>
      <c r="C250" s="8"/>
      <c r="D250" s="8"/>
      <c r="E250" s="8"/>
      <c r="F250" s="8"/>
      <c r="G250" s="8"/>
      <c r="H250" s="8"/>
      <c r="I250" s="89"/>
      <c r="J250" s="8"/>
      <c r="K250" s="8"/>
      <c r="L250" s="8"/>
      <c r="M250" s="8"/>
      <c r="N250" s="8"/>
      <c r="O250" s="8"/>
      <c r="P250" s="8"/>
      <c r="Q250" s="8"/>
      <c r="R250" s="8"/>
      <c r="S250" s="8"/>
      <c r="T250" s="8"/>
      <c r="U250" s="8"/>
      <c r="V250" s="8"/>
      <c r="W250" s="8"/>
      <c r="X250" s="8"/>
      <c r="Y250" s="8"/>
      <c r="Z250" s="8"/>
    </row>
    <row r="251" spans="1:26" ht="12.75" customHeight="1" x14ac:dyDescent="0.3">
      <c r="A251" s="8"/>
      <c r="B251" s="8"/>
      <c r="C251" s="8"/>
      <c r="D251" s="8"/>
      <c r="E251" s="8"/>
      <c r="F251" s="8"/>
      <c r="G251" s="8"/>
      <c r="H251" s="8"/>
      <c r="I251" s="89"/>
      <c r="J251" s="8"/>
      <c r="K251" s="8"/>
      <c r="L251" s="8"/>
      <c r="M251" s="8"/>
      <c r="N251" s="8"/>
      <c r="O251" s="8"/>
      <c r="P251" s="8"/>
      <c r="Q251" s="8"/>
      <c r="R251" s="8"/>
      <c r="S251" s="8"/>
      <c r="T251" s="8"/>
      <c r="U251" s="8"/>
      <c r="V251" s="8"/>
      <c r="W251" s="8"/>
      <c r="X251" s="8"/>
      <c r="Y251" s="8"/>
      <c r="Z251" s="8"/>
    </row>
    <row r="252" spans="1:26" ht="12.75" customHeight="1" x14ac:dyDescent="0.3">
      <c r="A252" s="8"/>
      <c r="B252" s="8"/>
      <c r="C252" s="8"/>
      <c r="D252" s="8"/>
      <c r="E252" s="8"/>
      <c r="F252" s="8"/>
      <c r="G252" s="8"/>
      <c r="H252" s="8"/>
      <c r="I252" s="89"/>
      <c r="J252" s="8"/>
      <c r="K252" s="8"/>
      <c r="L252" s="8"/>
      <c r="M252" s="8"/>
      <c r="N252" s="8"/>
      <c r="O252" s="8"/>
      <c r="P252" s="8"/>
      <c r="Q252" s="8"/>
      <c r="R252" s="8"/>
      <c r="S252" s="8"/>
      <c r="T252" s="8"/>
      <c r="U252" s="8"/>
      <c r="V252" s="8"/>
      <c r="W252" s="8"/>
      <c r="X252" s="8"/>
      <c r="Y252" s="8"/>
      <c r="Z252" s="8"/>
    </row>
    <row r="253" spans="1:26" ht="12.75" customHeight="1" x14ac:dyDescent="0.3">
      <c r="A253" s="8"/>
      <c r="B253" s="8"/>
      <c r="C253" s="8"/>
      <c r="D253" s="8"/>
      <c r="E253" s="8"/>
      <c r="F253" s="8"/>
      <c r="G253" s="8"/>
      <c r="H253" s="8"/>
      <c r="I253" s="89"/>
      <c r="J253" s="8"/>
      <c r="K253" s="8"/>
      <c r="L253" s="8"/>
      <c r="M253" s="8"/>
      <c r="N253" s="8"/>
      <c r="O253" s="8"/>
      <c r="P253" s="8"/>
      <c r="Q253" s="8"/>
      <c r="R253" s="8"/>
      <c r="S253" s="8"/>
      <c r="T253" s="8"/>
      <c r="U253" s="8"/>
      <c r="V253" s="8"/>
      <c r="W253" s="8"/>
      <c r="X253" s="8"/>
      <c r="Y253" s="8"/>
      <c r="Z253" s="8"/>
    </row>
    <row r="254" spans="1:26" ht="12.75" customHeight="1" x14ac:dyDescent="0.3">
      <c r="A254" s="8"/>
      <c r="B254" s="8"/>
      <c r="C254" s="8"/>
      <c r="D254" s="8"/>
      <c r="E254" s="8"/>
      <c r="F254" s="8"/>
      <c r="G254" s="8"/>
      <c r="H254" s="8"/>
      <c r="I254" s="89"/>
      <c r="J254" s="8"/>
      <c r="K254" s="8"/>
      <c r="L254" s="8"/>
      <c r="M254" s="8"/>
      <c r="N254" s="8"/>
      <c r="O254" s="8"/>
      <c r="P254" s="8"/>
      <c r="Q254" s="8"/>
      <c r="R254" s="8"/>
      <c r="S254" s="8"/>
      <c r="T254" s="8"/>
      <c r="U254" s="8"/>
      <c r="V254" s="8"/>
      <c r="W254" s="8"/>
      <c r="X254" s="8"/>
      <c r="Y254" s="8"/>
      <c r="Z254" s="8"/>
    </row>
    <row r="255" spans="1:26" ht="12.75" customHeight="1" x14ac:dyDescent="0.3">
      <c r="A255" s="8"/>
      <c r="B255" s="8"/>
      <c r="C255" s="8"/>
      <c r="D255" s="8"/>
      <c r="E255" s="8"/>
      <c r="F255" s="8"/>
      <c r="G255" s="8"/>
      <c r="H255" s="8"/>
      <c r="I255" s="89"/>
      <c r="J255" s="8"/>
      <c r="K255" s="8"/>
      <c r="L255" s="8"/>
      <c r="M255" s="8"/>
      <c r="N255" s="8"/>
      <c r="O255" s="8"/>
      <c r="P255" s="8"/>
      <c r="Q255" s="8"/>
      <c r="R255" s="8"/>
      <c r="S255" s="8"/>
      <c r="T255" s="8"/>
      <c r="U255" s="8"/>
      <c r="V255" s="8"/>
      <c r="W255" s="8"/>
      <c r="X255" s="8"/>
      <c r="Y255" s="8"/>
      <c r="Z255" s="8"/>
    </row>
    <row r="256" spans="1:26" ht="12.75" customHeight="1" x14ac:dyDescent="0.3">
      <c r="A256" s="8"/>
      <c r="B256" s="8"/>
      <c r="C256" s="8"/>
      <c r="D256" s="8"/>
      <c r="E256" s="8"/>
      <c r="F256" s="8"/>
      <c r="G256" s="8"/>
      <c r="H256" s="8"/>
      <c r="I256" s="89"/>
      <c r="J256" s="8"/>
      <c r="K256" s="8"/>
      <c r="L256" s="8"/>
      <c r="M256" s="8"/>
      <c r="N256" s="8"/>
      <c r="O256" s="8"/>
      <c r="P256" s="8"/>
      <c r="Q256" s="8"/>
      <c r="R256" s="8"/>
      <c r="S256" s="8"/>
      <c r="T256" s="8"/>
      <c r="U256" s="8"/>
      <c r="V256" s="8"/>
      <c r="W256" s="8"/>
      <c r="X256" s="8"/>
      <c r="Y256" s="8"/>
      <c r="Z256" s="8"/>
    </row>
    <row r="257" spans="1:26" ht="12.75" customHeight="1" x14ac:dyDescent="0.3">
      <c r="A257" s="8"/>
      <c r="B257" s="8"/>
      <c r="C257" s="8"/>
      <c r="D257" s="8"/>
      <c r="E257" s="8"/>
      <c r="F257" s="8"/>
      <c r="G257" s="8"/>
      <c r="H257" s="8"/>
      <c r="I257" s="89"/>
      <c r="J257" s="8"/>
      <c r="K257" s="8"/>
      <c r="L257" s="8"/>
      <c r="M257" s="8"/>
      <c r="N257" s="8"/>
      <c r="O257" s="8"/>
      <c r="P257" s="8"/>
      <c r="Q257" s="8"/>
      <c r="R257" s="8"/>
      <c r="S257" s="8"/>
      <c r="T257" s="8"/>
      <c r="U257" s="8"/>
      <c r="V257" s="8"/>
      <c r="W257" s="8"/>
      <c r="X257" s="8"/>
      <c r="Y257" s="8"/>
      <c r="Z257" s="8"/>
    </row>
    <row r="258" spans="1:26" ht="12.75" customHeight="1" x14ac:dyDescent="0.3">
      <c r="A258" s="8"/>
      <c r="B258" s="8"/>
      <c r="C258" s="8"/>
      <c r="D258" s="8"/>
      <c r="E258" s="8"/>
      <c r="F258" s="8"/>
      <c r="G258" s="8"/>
      <c r="H258" s="8"/>
      <c r="I258" s="89"/>
      <c r="J258" s="8"/>
      <c r="K258" s="8"/>
      <c r="L258" s="8"/>
      <c r="M258" s="8"/>
      <c r="N258" s="8"/>
      <c r="O258" s="8"/>
      <c r="P258" s="8"/>
      <c r="Q258" s="8"/>
      <c r="R258" s="8"/>
      <c r="S258" s="8"/>
      <c r="T258" s="8"/>
      <c r="U258" s="8"/>
      <c r="V258" s="8"/>
      <c r="W258" s="8"/>
      <c r="X258" s="8"/>
      <c r="Y258" s="8"/>
      <c r="Z258" s="8"/>
    </row>
    <row r="259" spans="1:26" ht="12.75" customHeight="1" x14ac:dyDescent="0.3">
      <c r="A259" s="8"/>
      <c r="B259" s="8"/>
      <c r="C259" s="8"/>
      <c r="D259" s="8"/>
      <c r="E259" s="8"/>
      <c r="F259" s="8"/>
      <c r="G259" s="8"/>
      <c r="H259" s="8"/>
      <c r="I259" s="89"/>
      <c r="J259" s="8"/>
      <c r="K259" s="8"/>
      <c r="L259" s="8"/>
      <c r="M259" s="8"/>
      <c r="N259" s="8"/>
      <c r="O259" s="8"/>
      <c r="P259" s="8"/>
      <c r="Q259" s="8"/>
      <c r="R259" s="8"/>
      <c r="S259" s="8"/>
      <c r="T259" s="8"/>
      <c r="U259" s="8"/>
      <c r="V259" s="8"/>
      <c r="W259" s="8"/>
      <c r="X259" s="8"/>
      <c r="Y259" s="8"/>
      <c r="Z259" s="8"/>
    </row>
    <row r="260" spans="1:26" ht="12.75" customHeight="1" x14ac:dyDescent="0.3">
      <c r="A260" s="8"/>
      <c r="B260" s="8"/>
      <c r="C260" s="8"/>
      <c r="D260" s="8"/>
      <c r="E260" s="8"/>
      <c r="F260" s="8"/>
      <c r="G260" s="8"/>
      <c r="H260" s="8"/>
      <c r="I260" s="89"/>
      <c r="J260" s="8"/>
      <c r="K260" s="8"/>
      <c r="L260" s="8"/>
      <c r="M260" s="8"/>
      <c r="N260" s="8"/>
      <c r="O260" s="8"/>
      <c r="P260" s="8"/>
      <c r="Q260" s="8"/>
      <c r="R260" s="8"/>
      <c r="S260" s="8"/>
      <c r="T260" s="8"/>
      <c r="U260" s="8"/>
      <c r="V260" s="8"/>
      <c r="W260" s="8"/>
      <c r="X260" s="8"/>
      <c r="Y260" s="8"/>
      <c r="Z260" s="8"/>
    </row>
    <row r="261" spans="1:26" ht="12.75" customHeight="1" x14ac:dyDescent="0.3">
      <c r="A261" s="8"/>
      <c r="B261" s="8"/>
      <c r="C261" s="8"/>
      <c r="D261" s="8"/>
      <c r="E261" s="8"/>
      <c r="F261" s="8"/>
      <c r="G261" s="8"/>
      <c r="H261" s="8"/>
      <c r="I261" s="89"/>
      <c r="J261" s="8"/>
      <c r="K261" s="8"/>
      <c r="L261" s="8"/>
      <c r="M261" s="8"/>
      <c r="N261" s="8"/>
      <c r="O261" s="8"/>
      <c r="P261" s="8"/>
      <c r="Q261" s="8"/>
      <c r="R261" s="8"/>
      <c r="S261" s="8"/>
      <c r="T261" s="8"/>
      <c r="U261" s="8"/>
      <c r="V261" s="8"/>
      <c r="W261" s="8"/>
      <c r="X261" s="8"/>
      <c r="Y261" s="8"/>
      <c r="Z261" s="8"/>
    </row>
    <row r="262" spans="1:26" ht="12.75" customHeight="1" x14ac:dyDescent="0.3">
      <c r="A262" s="8"/>
      <c r="B262" s="8"/>
      <c r="C262" s="8"/>
      <c r="D262" s="8"/>
      <c r="E262" s="8"/>
      <c r="F262" s="8"/>
      <c r="G262" s="8"/>
      <c r="H262" s="8"/>
      <c r="I262" s="89"/>
      <c r="J262" s="8"/>
      <c r="K262" s="8"/>
      <c r="L262" s="8"/>
      <c r="M262" s="8"/>
      <c r="N262" s="8"/>
      <c r="O262" s="8"/>
      <c r="P262" s="8"/>
      <c r="Q262" s="8"/>
      <c r="R262" s="8"/>
      <c r="S262" s="8"/>
      <c r="T262" s="8"/>
      <c r="U262" s="8"/>
      <c r="V262" s="8"/>
      <c r="W262" s="8"/>
      <c r="X262" s="8"/>
      <c r="Y262" s="8"/>
      <c r="Z262" s="8"/>
    </row>
    <row r="263" spans="1:26" ht="12.75" customHeight="1" x14ac:dyDescent="0.3">
      <c r="A263" s="8"/>
      <c r="B263" s="8"/>
      <c r="C263" s="8"/>
      <c r="D263" s="8"/>
      <c r="E263" s="8"/>
      <c r="F263" s="8"/>
      <c r="G263" s="8"/>
      <c r="H263" s="8"/>
      <c r="I263" s="89"/>
      <c r="J263" s="8"/>
      <c r="K263" s="8"/>
      <c r="L263" s="8"/>
      <c r="M263" s="8"/>
      <c r="N263" s="8"/>
      <c r="O263" s="8"/>
      <c r="P263" s="8"/>
      <c r="Q263" s="8"/>
      <c r="R263" s="8"/>
      <c r="S263" s="8"/>
      <c r="T263" s="8"/>
      <c r="U263" s="8"/>
      <c r="V263" s="8"/>
      <c r="W263" s="8"/>
      <c r="X263" s="8"/>
      <c r="Y263" s="8"/>
      <c r="Z263" s="8"/>
    </row>
    <row r="264" spans="1:26" ht="12.75" customHeight="1" x14ac:dyDescent="0.3">
      <c r="A264" s="8"/>
      <c r="B264" s="8"/>
      <c r="C264" s="8"/>
      <c r="D264" s="8"/>
      <c r="E264" s="8"/>
      <c r="F264" s="8"/>
      <c r="G264" s="8"/>
      <c r="H264" s="8"/>
      <c r="I264" s="89"/>
      <c r="J264" s="8"/>
      <c r="K264" s="8"/>
      <c r="L264" s="8"/>
      <c r="M264" s="8"/>
      <c r="N264" s="8"/>
      <c r="O264" s="8"/>
      <c r="P264" s="8"/>
      <c r="Q264" s="8"/>
      <c r="R264" s="8"/>
      <c r="S264" s="8"/>
      <c r="T264" s="8"/>
      <c r="U264" s="8"/>
      <c r="V264" s="8"/>
      <c r="W264" s="8"/>
      <c r="X264" s="8"/>
      <c r="Y264" s="8"/>
      <c r="Z264" s="8"/>
    </row>
    <row r="265" spans="1:26" ht="12.75" customHeight="1" x14ac:dyDescent="0.3">
      <c r="A265" s="8"/>
      <c r="B265" s="8"/>
      <c r="C265" s="8"/>
      <c r="D265" s="8"/>
      <c r="E265" s="8"/>
      <c r="F265" s="8"/>
      <c r="G265" s="8"/>
      <c r="H265" s="8"/>
      <c r="I265" s="89"/>
      <c r="J265" s="8"/>
      <c r="K265" s="8"/>
      <c r="L265" s="8"/>
      <c r="M265" s="8"/>
      <c r="N265" s="8"/>
      <c r="O265" s="8"/>
      <c r="P265" s="8"/>
      <c r="Q265" s="8"/>
      <c r="R265" s="8"/>
      <c r="S265" s="8"/>
      <c r="T265" s="8"/>
      <c r="U265" s="8"/>
      <c r="V265" s="8"/>
      <c r="W265" s="8"/>
      <c r="X265" s="8"/>
      <c r="Y265" s="8"/>
      <c r="Z265" s="8"/>
    </row>
    <row r="266" spans="1:26" ht="12.75" customHeight="1" x14ac:dyDescent="0.3">
      <c r="A266" s="8"/>
      <c r="B266" s="8"/>
      <c r="C266" s="8"/>
      <c r="D266" s="8"/>
      <c r="E266" s="8"/>
      <c r="F266" s="8"/>
      <c r="G266" s="8"/>
      <c r="H266" s="8"/>
      <c r="I266" s="89"/>
      <c r="J266" s="8"/>
      <c r="K266" s="8"/>
      <c r="L266" s="8"/>
      <c r="M266" s="8"/>
      <c r="N266" s="8"/>
      <c r="O266" s="8"/>
      <c r="P266" s="8"/>
      <c r="Q266" s="8"/>
      <c r="R266" s="8"/>
      <c r="S266" s="8"/>
      <c r="T266" s="8"/>
      <c r="U266" s="8"/>
      <c r="V266" s="8"/>
      <c r="W266" s="8"/>
      <c r="X266" s="8"/>
      <c r="Y266" s="8"/>
      <c r="Z266" s="8"/>
    </row>
    <row r="267" spans="1:26" ht="12.75" customHeight="1" x14ac:dyDescent="0.3">
      <c r="A267" s="8"/>
      <c r="B267" s="8"/>
      <c r="C267" s="8"/>
      <c r="D267" s="8"/>
      <c r="E267" s="8"/>
      <c r="F267" s="8"/>
      <c r="G267" s="8"/>
      <c r="H267" s="8"/>
      <c r="I267" s="89"/>
      <c r="J267" s="8"/>
      <c r="K267" s="8"/>
      <c r="L267" s="8"/>
      <c r="M267" s="8"/>
      <c r="N267" s="8"/>
      <c r="O267" s="8"/>
      <c r="P267" s="8"/>
      <c r="Q267" s="8"/>
      <c r="R267" s="8"/>
      <c r="S267" s="8"/>
      <c r="T267" s="8"/>
      <c r="U267" s="8"/>
      <c r="V267" s="8"/>
      <c r="W267" s="8"/>
      <c r="X267" s="8"/>
      <c r="Y267" s="8"/>
      <c r="Z267" s="8"/>
    </row>
    <row r="268" spans="1:26" ht="12.75" customHeight="1" x14ac:dyDescent="0.3">
      <c r="A268" s="8"/>
      <c r="B268" s="8"/>
      <c r="C268" s="8"/>
      <c r="D268" s="8"/>
      <c r="E268" s="8"/>
      <c r="F268" s="8"/>
      <c r="G268" s="8"/>
      <c r="H268" s="8"/>
      <c r="I268" s="89"/>
      <c r="J268" s="8"/>
      <c r="K268" s="8"/>
      <c r="L268" s="8"/>
      <c r="M268" s="8"/>
      <c r="N268" s="8"/>
      <c r="O268" s="8"/>
      <c r="P268" s="8"/>
      <c r="Q268" s="8"/>
      <c r="R268" s="8"/>
      <c r="S268" s="8"/>
      <c r="T268" s="8"/>
      <c r="U268" s="8"/>
      <c r="V268" s="8"/>
      <c r="W268" s="8"/>
      <c r="X268" s="8"/>
      <c r="Y268" s="8"/>
      <c r="Z268" s="8"/>
    </row>
    <row r="269" spans="1:26" ht="12.75" customHeight="1" x14ac:dyDescent="0.3">
      <c r="A269" s="8"/>
      <c r="B269" s="8"/>
      <c r="C269" s="8"/>
      <c r="D269" s="8"/>
      <c r="E269" s="8"/>
      <c r="F269" s="8"/>
      <c r="G269" s="8"/>
      <c r="H269" s="8"/>
      <c r="I269" s="89"/>
      <c r="J269" s="8"/>
      <c r="K269" s="8"/>
      <c r="L269" s="8"/>
      <c r="M269" s="8"/>
      <c r="N269" s="8"/>
      <c r="O269" s="8"/>
      <c r="P269" s="8"/>
      <c r="Q269" s="8"/>
      <c r="R269" s="8"/>
      <c r="S269" s="8"/>
      <c r="T269" s="8"/>
      <c r="U269" s="8"/>
      <c r="V269" s="8"/>
      <c r="W269" s="8"/>
      <c r="X269" s="8"/>
      <c r="Y269" s="8"/>
      <c r="Z269" s="8"/>
    </row>
    <row r="270" spans="1:26" ht="12.75" customHeight="1" x14ac:dyDescent="0.3">
      <c r="A270" s="8"/>
      <c r="B270" s="8"/>
      <c r="C270" s="8"/>
      <c r="D270" s="8"/>
      <c r="E270" s="8"/>
      <c r="F270" s="8"/>
      <c r="G270" s="8"/>
      <c r="H270" s="8"/>
      <c r="I270" s="89"/>
      <c r="J270" s="8"/>
      <c r="K270" s="8"/>
      <c r="L270" s="8"/>
      <c r="M270" s="8"/>
      <c r="N270" s="8"/>
      <c r="O270" s="8"/>
      <c r="P270" s="8"/>
      <c r="Q270" s="8"/>
      <c r="R270" s="8"/>
      <c r="S270" s="8"/>
      <c r="T270" s="8"/>
      <c r="U270" s="8"/>
      <c r="V270" s="8"/>
      <c r="W270" s="8"/>
      <c r="X270" s="8"/>
      <c r="Y270" s="8"/>
      <c r="Z270" s="8"/>
    </row>
    <row r="271" spans="1:26" ht="12.75" customHeight="1" x14ac:dyDescent="0.3">
      <c r="A271" s="8"/>
      <c r="B271" s="8"/>
      <c r="C271" s="8"/>
      <c r="D271" s="8"/>
      <c r="E271" s="8"/>
      <c r="F271" s="8"/>
      <c r="G271" s="8"/>
      <c r="H271" s="8"/>
      <c r="I271" s="89"/>
      <c r="J271" s="8"/>
      <c r="K271" s="8"/>
      <c r="L271" s="8"/>
      <c r="M271" s="8"/>
      <c r="N271" s="8"/>
      <c r="O271" s="8"/>
      <c r="P271" s="8"/>
      <c r="Q271" s="8"/>
      <c r="R271" s="8"/>
      <c r="S271" s="8"/>
      <c r="T271" s="8"/>
      <c r="U271" s="8"/>
      <c r="V271" s="8"/>
      <c r="W271" s="8"/>
      <c r="X271" s="8"/>
      <c r="Y271" s="8"/>
      <c r="Z271" s="8"/>
    </row>
    <row r="272" spans="1:26" ht="12.75" customHeight="1" x14ac:dyDescent="0.3">
      <c r="A272" s="8"/>
      <c r="B272" s="8"/>
      <c r="C272" s="8"/>
      <c r="D272" s="8"/>
      <c r="E272" s="8"/>
      <c r="F272" s="8"/>
      <c r="G272" s="8"/>
      <c r="H272" s="8"/>
      <c r="I272" s="89"/>
      <c r="J272" s="8"/>
      <c r="K272" s="8"/>
      <c r="L272" s="8"/>
      <c r="M272" s="8"/>
      <c r="N272" s="8"/>
      <c r="O272" s="8"/>
      <c r="P272" s="8"/>
      <c r="Q272" s="8"/>
      <c r="R272" s="8"/>
      <c r="S272" s="8"/>
      <c r="T272" s="8"/>
      <c r="U272" s="8"/>
      <c r="V272" s="8"/>
      <c r="W272" s="8"/>
      <c r="X272" s="8"/>
      <c r="Y272" s="8"/>
      <c r="Z272" s="8"/>
    </row>
    <row r="273" spans="1:26" ht="12.75" customHeight="1" x14ac:dyDescent="0.3">
      <c r="A273" s="8"/>
      <c r="B273" s="8"/>
      <c r="C273" s="8"/>
      <c r="D273" s="8"/>
      <c r="E273" s="8"/>
      <c r="F273" s="8"/>
      <c r="G273" s="8"/>
      <c r="H273" s="8"/>
      <c r="I273" s="89"/>
      <c r="J273" s="8"/>
      <c r="K273" s="8"/>
      <c r="L273" s="8"/>
      <c r="M273" s="8"/>
      <c r="N273" s="8"/>
      <c r="O273" s="8"/>
      <c r="P273" s="8"/>
      <c r="Q273" s="8"/>
      <c r="R273" s="8"/>
      <c r="S273" s="8"/>
      <c r="T273" s="8"/>
      <c r="U273" s="8"/>
      <c r="V273" s="8"/>
      <c r="W273" s="8"/>
      <c r="X273" s="8"/>
      <c r="Y273" s="8"/>
      <c r="Z273" s="8"/>
    </row>
    <row r="274" spans="1:26" ht="12.75" customHeight="1" x14ac:dyDescent="0.3">
      <c r="A274" s="8"/>
      <c r="B274" s="8"/>
      <c r="C274" s="8"/>
      <c r="D274" s="8"/>
      <c r="E274" s="8"/>
      <c r="F274" s="8"/>
      <c r="G274" s="8"/>
      <c r="H274" s="8"/>
      <c r="I274" s="89"/>
      <c r="J274" s="8"/>
      <c r="K274" s="8"/>
      <c r="L274" s="8"/>
      <c r="M274" s="8"/>
      <c r="N274" s="8"/>
      <c r="O274" s="8"/>
      <c r="P274" s="8"/>
      <c r="Q274" s="8"/>
      <c r="R274" s="8"/>
      <c r="S274" s="8"/>
      <c r="T274" s="8"/>
      <c r="U274" s="8"/>
      <c r="V274" s="8"/>
      <c r="W274" s="8"/>
      <c r="X274" s="8"/>
      <c r="Y274" s="8"/>
      <c r="Z274" s="8"/>
    </row>
    <row r="275" spans="1:26" ht="12.75" customHeight="1" x14ac:dyDescent="0.3">
      <c r="A275" s="8"/>
      <c r="B275" s="8"/>
      <c r="C275" s="8"/>
      <c r="D275" s="8"/>
      <c r="E275" s="8"/>
      <c r="F275" s="8"/>
      <c r="G275" s="8"/>
      <c r="H275" s="8"/>
      <c r="I275" s="89"/>
      <c r="J275" s="8"/>
      <c r="K275" s="8"/>
      <c r="L275" s="8"/>
      <c r="M275" s="8"/>
      <c r="N275" s="8"/>
      <c r="O275" s="8"/>
      <c r="P275" s="8"/>
      <c r="Q275" s="8"/>
      <c r="R275" s="8"/>
      <c r="S275" s="8"/>
      <c r="T275" s="8"/>
      <c r="U275" s="8"/>
      <c r="V275" s="8"/>
      <c r="W275" s="8"/>
      <c r="X275" s="8"/>
      <c r="Y275" s="8"/>
      <c r="Z275" s="8"/>
    </row>
    <row r="276" spans="1:26" ht="12.75" customHeight="1" x14ac:dyDescent="0.3">
      <c r="A276" s="8"/>
      <c r="B276" s="8"/>
      <c r="C276" s="8"/>
      <c r="D276" s="8"/>
      <c r="E276" s="8"/>
      <c r="F276" s="8"/>
      <c r="G276" s="8"/>
      <c r="H276" s="8"/>
      <c r="I276" s="89"/>
      <c r="J276" s="8"/>
      <c r="K276" s="8"/>
      <c r="L276" s="8"/>
      <c r="M276" s="8"/>
      <c r="N276" s="8"/>
      <c r="O276" s="8"/>
      <c r="P276" s="8"/>
      <c r="Q276" s="8"/>
      <c r="R276" s="8"/>
      <c r="S276" s="8"/>
      <c r="T276" s="8"/>
      <c r="U276" s="8"/>
      <c r="V276" s="8"/>
      <c r="W276" s="8"/>
      <c r="X276" s="8"/>
      <c r="Y276" s="8"/>
      <c r="Z276" s="8"/>
    </row>
    <row r="277" spans="1:26" ht="12.75" customHeight="1" x14ac:dyDescent="0.3">
      <c r="A277" s="8"/>
      <c r="B277" s="8"/>
      <c r="C277" s="8"/>
      <c r="D277" s="8"/>
      <c r="E277" s="8"/>
      <c r="F277" s="8"/>
      <c r="G277" s="8"/>
      <c r="H277" s="8"/>
      <c r="I277" s="89"/>
      <c r="J277" s="8"/>
      <c r="K277" s="8"/>
      <c r="L277" s="8"/>
      <c r="M277" s="8"/>
      <c r="N277" s="8"/>
      <c r="O277" s="8"/>
      <c r="P277" s="8"/>
      <c r="Q277" s="8"/>
      <c r="R277" s="8"/>
      <c r="S277" s="8"/>
      <c r="T277" s="8"/>
      <c r="U277" s="8"/>
      <c r="V277" s="8"/>
      <c r="W277" s="8"/>
      <c r="X277" s="8"/>
      <c r="Y277" s="8"/>
      <c r="Z277" s="8"/>
    </row>
    <row r="278" spans="1:26" ht="12.75" customHeight="1" x14ac:dyDescent="0.3">
      <c r="A278" s="8"/>
      <c r="B278" s="8"/>
      <c r="C278" s="8"/>
      <c r="D278" s="8"/>
      <c r="E278" s="8"/>
      <c r="F278" s="8"/>
      <c r="G278" s="8"/>
      <c r="H278" s="8"/>
      <c r="I278" s="89"/>
      <c r="J278" s="8"/>
      <c r="K278" s="8"/>
      <c r="L278" s="8"/>
      <c r="M278" s="8"/>
      <c r="N278" s="8"/>
      <c r="O278" s="8"/>
      <c r="P278" s="8"/>
      <c r="Q278" s="8"/>
      <c r="R278" s="8"/>
      <c r="S278" s="8"/>
      <c r="T278" s="8"/>
      <c r="U278" s="8"/>
      <c r="V278" s="8"/>
      <c r="W278" s="8"/>
      <c r="X278" s="8"/>
      <c r="Y278" s="8"/>
      <c r="Z278" s="8"/>
    </row>
    <row r="279" spans="1:26" ht="12.75" customHeight="1" x14ac:dyDescent="0.3">
      <c r="A279" s="8"/>
      <c r="B279" s="8"/>
      <c r="C279" s="8"/>
      <c r="D279" s="8"/>
      <c r="E279" s="8"/>
      <c r="F279" s="8"/>
      <c r="G279" s="8"/>
      <c r="H279" s="8"/>
      <c r="I279" s="89"/>
      <c r="J279" s="8"/>
      <c r="K279" s="8"/>
      <c r="L279" s="8"/>
      <c r="M279" s="8"/>
      <c r="N279" s="8"/>
      <c r="O279" s="8"/>
      <c r="P279" s="8"/>
      <c r="Q279" s="8"/>
      <c r="R279" s="8"/>
      <c r="S279" s="8"/>
      <c r="T279" s="8"/>
      <c r="U279" s="8"/>
      <c r="V279" s="8"/>
      <c r="W279" s="8"/>
      <c r="X279" s="8"/>
      <c r="Y279" s="8"/>
      <c r="Z279" s="8"/>
    </row>
    <row r="280" spans="1:26" ht="12.75" customHeight="1" x14ac:dyDescent="0.3">
      <c r="A280" s="8"/>
      <c r="B280" s="8"/>
      <c r="C280" s="8"/>
      <c r="D280" s="8"/>
      <c r="E280" s="8"/>
      <c r="F280" s="8"/>
      <c r="G280" s="8"/>
      <c r="H280" s="8"/>
      <c r="I280" s="89"/>
      <c r="J280" s="8"/>
      <c r="K280" s="8"/>
      <c r="L280" s="8"/>
      <c r="M280" s="8"/>
      <c r="N280" s="8"/>
      <c r="O280" s="8"/>
      <c r="P280" s="8"/>
      <c r="Q280" s="8"/>
      <c r="R280" s="8"/>
      <c r="S280" s="8"/>
      <c r="T280" s="8"/>
      <c r="U280" s="8"/>
      <c r="V280" s="8"/>
      <c r="W280" s="8"/>
      <c r="X280" s="8"/>
      <c r="Y280" s="8"/>
      <c r="Z280" s="8"/>
    </row>
    <row r="281" spans="1:26" ht="12.75" customHeight="1" x14ac:dyDescent="0.3">
      <c r="A281" s="8"/>
      <c r="B281" s="8"/>
      <c r="C281" s="8"/>
      <c r="D281" s="8"/>
      <c r="E281" s="8"/>
      <c r="F281" s="8"/>
      <c r="G281" s="8"/>
      <c r="H281" s="8"/>
      <c r="I281" s="89"/>
      <c r="J281" s="8"/>
      <c r="K281" s="8"/>
      <c r="L281" s="8"/>
      <c r="M281" s="8"/>
      <c r="N281" s="8"/>
      <c r="O281" s="8"/>
      <c r="P281" s="8"/>
      <c r="Q281" s="8"/>
      <c r="R281" s="8"/>
      <c r="S281" s="8"/>
      <c r="T281" s="8"/>
      <c r="U281" s="8"/>
      <c r="V281" s="8"/>
      <c r="W281" s="8"/>
      <c r="X281" s="8"/>
      <c r="Y281" s="8"/>
      <c r="Z281" s="8"/>
    </row>
    <row r="282" spans="1:26" ht="12.75" customHeight="1" x14ac:dyDescent="0.3">
      <c r="A282" s="8"/>
      <c r="B282" s="8"/>
      <c r="C282" s="8"/>
      <c r="D282" s="8"/>
      <c r="E282" s="8"/>
      <c r="F282" s="8"/>
      <c r="G282" s="8"/>
      <c r="H282" s="8"/>
      <c r="I282" s="89"/>
      <c r="J282" s="8"/>
      <c r="K282" s="8"/>
      <c r="L282" s="8"/>
      <c r="M282" s="8"/>
      <c r="N282" s="8"/>
      <c r="O282" s="8"/>
      <c r="P282" s="8"/>
      <c r="Q282" s="8"/>
      <c r="R282" s="8"/>
      <c r="S282" s="8"/>
      <c r="T282" s="8"/>
      <c r="U282" s="8"/>
      <c r="V282" s="8"/>
      <c r="W282" s="8"/>
      <c r="X282" s="8"/>
      <c r="Y282" s="8"/>
      <c r="Z282" s="8"/>
    </row>
    <row r="283" spans="1:26" ht="12.75" customHeight="1" x14ac:dyDescent="0.3">
      <c r="A283" s="8"/>
      <c r="B283" s="8"/>
      <c r="C283" s="8"/>
      <c r="D283" s="8"/>
      <c r="E283" s="8"/>
      <c r="F283" s="8"/>
      <c r="G283" s="8"/>
      <c r="H283" s="8"/>
      <c r="I283" s="89"/>
      <c r="J283" s="8"/>
      <c r="K283" s="8"/>
      <c r="L283" s="8"/>
      <c r="M283" s="8"/>
      <c r="N283" s="8"/>
      <c r="O283" s="8"/>
      <c r="P283" s="8"/>
      <c r="Q283" s="8"/>
      <c r="R283" s="8"/>
      <c r="S283" s="8"/>
      <c r="T283" s="8"/>
      <c r="U283" s="8"/>
      <c r="V283" s="8"/>
      <c r="W283" s="8"/>
      <c r="X283" s="8"/>
      <c r="Y283" s="8"/>
      <c r="Z283" s="8"/>
    </row>
    <row r="284" spans="1:26" ht="12.75" customHeight="1" x14ac:dyDescent="0.3">
      <c r="A284" s="8"/>
      <c r="B284" s="8"/>
      <c r="C284" s="8"/>
      <c r="D284" s="8"/>
      <c r="E284" s="8"/>
      <c r="F284" s="8"/>
      <c r="G284" s="8"/>
      <c r="H284" s="8"/>
      <c r="I284" s="89"/>
      <c r="J284" s="8"/>
      <c r="K284" s="8"/>
      <c r="L284" s="8"/>
      <c r="M284" s="8"/>
      <c r="N284" s="8"/>
      <c r="O284" s="8"/>
      <c r="P284" s="8"/>
      <c r="Q284" s="8"/>
      <c r="R284" s="8"/>
      <c r="S284" s="8"/>
      <c r="T284" s="8"/>
      <c r="U284" s="8"/>
      <c r="V284" s="8"/>
      <c r="W284" s="8"/>
      <c r="X284" s="8"/>
      <c r="Y284" s="8"/>
      <c r="Z284" s="8"/>
    </row>
    <row r="285" spans="1:26" ht="12.75" customHeight="1" x14ac:dyDescent="0.3">
      <c r="A285" s="8"/>
      <c r="B285" s="8"/>
      <c r="C285" s="8"/>
      <c r="D285" s="8"/>
      <c r="E285" s="8"/>
      <c r="F285" s="8"/>
      <c r="G285" s="8"/>
      <c r="H285" s="8"/>
      <c r="I285" s="89"/>
      <c r="J285" s="8"/>
      <c r="K285" s="8"/>
      <c r="L285" s="8"/>
      <c r="M285" s="8"/>
      <c r="N285" s="8"/>
      <c r="O285" s="8"/>
      <c r="P285" s="8"/>
      <c r="Q285" s="8"/>
      <c r="R285" s="8"/>
      <c r="S285" s="8"/>
      <c r="T285" s="8"/>
      <c r="U285" s="8"/>
      <c r="V285" s="8"/>
      <c r="W285" s="8"/>
      <c r="X285" s="8"/>
      <c r="Y285" s="8"/>
      <c r="Z285" s="8"/>
    </row>
    <row r="286" spans="1:26" ht="12.75" customHeight="1" x14ac:dyDescent="0.3">
      <c r="A286" s="8"/>
      <c r="B286" s="8"/>
      <c r="C286" s="8"/>
      <c r="D286" s="8"/>
      <c r="E286" s="8"/>
      <c r="F286" s="8"/>
      <c r="G286" s="8"/>
      <c r="H286" s="8"/>
      <c r="I286" s="89"/>
      <c r="J286" s="8"/>
      <c r="K286" s="8"/>
      <c r="L286" s="8"/>
      <c r="M286" s="8"/>
      <c r="N286" s="8"/>
      <c r="O286" s="8"/>
      <c r="P286" s="8"/>
      <c r="Q286" s="8"/>
      <c r="R286" s="8"/>
      <c r="S286" s="8"/>
      <c r="T286" s="8"/>
      <c r="U286" s="8"/>
      <c r="V286" s="8"/>
      <c r="W286" s="8"/>
      <c r="X286" s="8"/>
      <c r="Y286" s="8"/>
      <c r="Z286" s="8"/>
    </row>
    <row r="287" spans="1:26" ht="12.75" customHeight="1" x14ac:dyDescent="0.3">
      <c r="A287" s="8"/>
      <c r="B287" s="8"/>
      <c r="C287" s="8"/>
      <c r="D287" s="8"/>
      <c r="E287" s="8"/>
      <c r="F287" s="8"/>
      <c r="G287" s="8"/>
      <c r="H287" s="8"/>
      <c r="I287" s="89"/>
      <c r="J287" s="8"/>
      <c r="K287" s="8"/>
      <c r="L287" s="8"/>
      <c r="M287" s="8"/>
      <c r="N287" s="8"/>
      <c r="O287" s="8"/>
      <c r="P287" s="8"/>
      <c r="Q287" s="8"/>
      <c r="R287" s="8"/>
      <c r="S287" s="8"/>
      <c r="T287" s="8"/>
      <c r="U287" s="8"/>
      <c r="V287" s="8"/>
      <c r="W287" s="8"/>
      <c r="X287" s="8"/>
      <c r="Y287" s="8"/>
      <c r="Z287" s="8"/>
    </row>
    <row r="288" spans="1:26" ht="12.75" customHeight="1" x14ac:dyDescent="0.3">
      <c r="A288" s="8"/>
      <c r="B288" s="8"/>
      <c r="C288" s="8"/>
      <c r="D288" s="8"/>
      <c r="E288" s="8"/>
      <c r="F288" s="8"/>
      <c r="G288" s="8"/>
      <c r="H288" s="8"/>
      <c r="I288" s="89"/>
      <c r="J288" s="8"/>
      <c r="K288" s="8"/>
      <c r="L288" s="8"/>
      <c r="M288" s="8"/>
      <c r="N288" s="8"/>
      <c r="O288" s="8"/>
      <c r="P288" s="8"/>
      <c r="Q288" s="8"/>
      <c r="R288" s="8"/>
      <c r="S288" s="8"/>
      <c r="T288" s="8"/>
      <c r="U288" s="8"/>
      <c r="V288" s="8"/>
      <c r="W288" s="8"/>
      <c r="X288" s="8"/>
      <c r="Y288" s="8"/>
      <c r="Z288" s="8"/>
    </row>
    <row r="289" spans="1:26" ht="12.75" customHeight="1" x14ac:dyDescent="0.3">
      <c r="A289" s="8"/>
      <c r="B289" s="8"/>
      <c r="C289" s="8"/>
      <c r="D289" s="8"/>
      <c r="E289" s="8"/>
      <c r="F289" s="8"/>
      <c r="G289" s="8"/>
      <c r="H289" s="8"/>
      <c r="I289" s="89"/>
      <c r="J289" s="8"/>
      <c r="K289" s="8"/>
      <c r="L289" s="8"/>
      <c r="M289" s="8"/>
      <c r="N289" s="8"/>
      <c r="O289" s="8"/>
      <c r="P289" s="8"/>
      <c r="Q289" s="8"/>
      <c r="R289" s="8"/>
      <c r="S289" s="8"/>
      <c r="T289" s="8"/>
      <c r="U289" s="8"/>
      <c r="V289" s="8"/>
      <c r="W289" s="8"/>
      <c r="X289" s="8"/>
      <c r="Y289" s="8"/>
      <c r="Z289" s="8"/>
    </row>
    <row r="290" spans="1:26" ht="12.75" customHeight="1" x14ac:dyDescent="0.3">
      <c r="A290" s="8"/>
      <c r="B290" s="8"/>
      <c r="C290" s="8"/>
      <c r="D290" s="8"/>
      <c r="E290" s="8"/>
      <c r="F290" s="8"/>
      <c r="G290" s="8"/>
      <c r="H290" s="8"/>
      <c r="I290" s="89"/>
      <c r="J290" s="8"/>
      <c r="K290" s="8"/>
      <c r="L290" s="8"/>
      <c r="M290" s="8"/>
      <c r="N290" s="8"/>
      <c r="O290" s="8"/>
      <c r="P290" s="8"/>
      <c r="Q290" s="8"/>
      <c r="R290" s="8"/>
      <c r="S290" s="8"/>
      <c r="T290" s="8"/>
      <c r="U290" s="8"/>
      <c r="V290" s="8"/>
      <c r="W290" s="8"/>
      <c r="X290" s="8"/>
      <c r="Y290" s="8"/>
      <c r="Z290" s="8"/>
    </row>
    <row r="291" spans="1:26" ht="12.75" customHeight="1" x14ac:dyDescent="0.3">
      <c r="A291" s="8"/>
      <c r="B291" s="8"/>
      <c r="C291" s="8"/>
      <c r="D291" s="8"/>
      <c r="E291" s="8"/>
      <c r="F291" s="8"/>
      <c r="G291" s="8"/>
      <c r="H291" s="8"/>
      <c r="I291" s="89"/>
      <c r="J291" s="8"/>
      <c r="K291" s="8"/>
      <c r="L291" s="8"/>
      <c r="M291" s="8"/>
      <c r="N291" s="8"/>
      <c r="O291" s="8"/>
      <c r="P291" s="8"/>
      <c r="Q291" s="8"/>
      <c r="R291" s="8"/>
      <c r="S291" s="8"/>
      <c r="T291" s="8"/>
      <c r="U291" s="8"/>
      <c r="V291" s="8"/>
      <c r="W291" s="8"/>
      <c r="X291" s="8"/>
      <c r="Y291" s="8"/>
      <c r="Z291" s="8"/>
    </row>
    <row r="292" spans="1:26" ht="14.25" customHeight="1" x14ac:dyDescent="0.3"/>
    <row r="293" spans="1:26" ht="14.25" customHeight="1" x14ac:dyDescent="0.3"/>
    <row r="294" spans="1:26" ht="14.25" customHeight="1" x14ac:dyDescent="0.3"/>
    <row r="295" spans="1:26" ht="14.25" customHeight="1" x14ac:dyDescent="0.3"/>
    <row r="296" spans="1:26" ht="14.25" customHeight="1" x14ac:dyDescent="0.3"/>
    <row r="297" spans="1:26" ht="14.25" customHeight="1" x14ac:dyDescent="0.3"/>
    <row r="298" spans="1:26" ht="14.25" customHeight="1" x14ac:dyDescent="0.3"/>
    <row r="299" spans="1:26" ht="14.25" customHeight="1" x14ac:dyDescent="0.3"/>
    <row r="300" spans="1:26" ht="14.25" customHeight="1" x14ac:dyDescent="0.3"/>
    <row r="301" spans="1:26" ht="14.25" customHeight="1" x14ac:dyDescent="0.3"/>
    <row r="302" spans="1:26" ht="14.25" customHeight="1" x14ac:dyDescent="0.3"/>
    <row r="303" spans="1:26" ht="14.25" customHeight="1" x14ac:dyDescent="0.3"/>
    <row r="304" spans="1:26"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B2:H2"/>
    <mergeCell ref="B3:H3"/>
    <mergeCell ref="B4:H4"/>
    <mergeCell ref="F5:H5"/>
    <mergeCell ref="F6:H6"/>
  </mergeCells>
  <dataValidations count="1">
    <dataValidation type="list" allowBlank="1" sqref="F9:F143">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A64" zoomScaleNormal="100" workbookViewId="0"/>
  </sheetViews>
  <sheetFormatPr defaultColWidth="14.44140625" defaultRowHeight="14.4" x14ac:dyDescent="0.3"/>
  <cols>
    <col min="1" max="1" width="28" style="1" customWidth="1"/>
    <col min="2" max="2" width="34" style="1" customWidth="1"/>
    <col min="3" max="3" width="52" style="1" customWidth="1"/>
    <col min="4" max="4" width="50" style="1" customWidth="1"/>
    <col min="5" max="5" width="26" style="1" customWidth="1"/>
    <col min="6" max="6" width="9" style="1" customWidth="1"/>
    <col min="7" max="7" width="12" style="1" customWidth="1"/>
    <col min="8" max="8" width="28" style="1" customWidth="1"/>
    <col min="9" max="9" width="9.44140625" style="1" customWidth="1"/>
    <col min="10" max="10" width="8.109375" style="1" hidden="1" customWidth="1"/>
    <col min="11" max="26" width="9.109375" style="1" customWidth="1"/>
  </cols>
  <sheetData>
    <row r="1" spans="1:26" ht="13.5" customHeight="1" x14ac:dyDescent="0.3">
      <c r="A1" s="63"/>
      <c r="B1" s="64"/>
      <c r="C1" s="64"/>
      <c r="D1" s="64"/>
      <c r="E1" s="64"/>
      <c r="F1" s="36"/>
      <c r="G1" s="65"/>
      <c r="H1" s="36"/>
      <c r="I1" s="66"/>
      <c r="J1" s="67"/>
      <c r="K1" s="67"/>
      <c r="L1" s="67"/>
      <c r="M1" s="67"/>
      <c r="N1" s="67"/>
      <c r="O1" s="67"/>
      <c r="P1" s="67"/>
      <c r="Q1" s="67"/>
      <c r="R1" s="67"/>
      <c r="S1" s="67"/>
      <c r="T1" s="67"/>
      <c r="U1" s="67"/>
      <c r="V1" s="67"/>
      <c r="W1" s="67"/>
      <c r="X1" s="67"/>
      <c r="Y1" s="67"/>
      <c r="Z1" s="67"/>
    </row>
    <row r="2" spans="1:26" ht="15" customHeight="1" x14ac:dyDescent="0.3">
      <c r="A2" s="63" t="s">
        <v>319</v>
      </c>
      <c r="B2" s="123" t="s">
        <v>836</v>
      </c>
      <c r="C2" s="123"/>
      <c r="D2" s="123"/>
      <c r="E2" s="123"/>
      <c r="F2" s="123"/>
      <c r="G2" s="123"/>
      <c r="H2" s="123"/>
      <c r="I2" s="66"/>
      <c r="J2" s="67" t="s">
        <v>321</v>
      </c>
      <c r="K2" s="67"/>
      <c r="L2" s="67"/>
      <c r="M2" s="67"/>
      <c r="N2" s="67"/>
      <c r="O2" s="67"/>
      <c r="P2" s="67"/>
      <c r="Q2" s="67"/>
      <c r="R2" s="67"/>
      <c r="S2" s="67"/>
      <c r="T2" s="67"/>
      <c r="U2" s="67"/>
      <c r="V2" s="67"/>
      <c r="W2" s="67"/>
      <c r="X2" s="67"/>
      <c r="Y2" s="67"/>
      <c r="Z2" s="67"/>
    </row>
    <row r="3" spans="1:26" ht="25.5" customHeight="1" x14ac:dyDescent="0.3">
      <c r="A3" s="63" t="s">
        <v>322</v>
      </c>
      <c r="B3" s="123" t="s">
        <v>837</v>
      </c>
      <c r="C3" s="123"/>
      <c r="D3" s="123"/>
      <c r="E3" s="123"/>
      <c r="F3" s="123"/>
      <c r="G3" s="123"/>
      <c r="H3" s="123"/>
      <c r="I3" s="66"/>
      <c r="J3" s="67" t="s">
        <v>323</v>
      </c>
      <c r="K3" s="67"/>
      <c r="L3" s="67"/>
      <c r="M3" s="67"/>
      <c r="N3" s="67"/>
      <c r="O3" s="67"/>
      <c r="P3" s="67"/>
      <c r="Q3" s="67"/>
      <c r="R3" s="67"/>
      <c r="S3" s="67"/>
      <c r="T3" s="67"/>
      <c r="U3" s="67"/>
      <c r="V3" s="67"/>
      <c r="W3" s="67"/>
      <c r="X3" s="67"/>
      <c r="Y3" s="67"/>
      <c r="Z3" s="67"/>
    </row>
    <row r="4" spans="1:26" ht="18" customHeight="1" x14ac:dyDescent="0.3">
      <c r="A4" s="68" t="s">
        <v>324</v>
      </c>
      <c r="B4" s="123" t="s">
        <v>4</v>
      </c>
      <c r="C4" s="123"/>
      <c r="D4" s="123"/>
      <c r="E4" s="123"/>
      <c r="F4" s="123"/>
      <c r="G4" s="123"/>
      <c r="H4" s="123"/>
      <c r="I4" s="66"/>
      <c r="J4" s="67" t="s">
        <v>325</v>
      </c>
      <c r="K4" s="67"/>
      <c r="L4" s="67"/>
      <c r="M4" s="67"/>
      <c r="N4" s="67"/>
      <c r="O4" s="67"/>
      <c r="P4" s="67"/>
      <c r="Q4" s="67"/>
      <c r="R4" s="67"/>
      <c r="S4" s="67"/>
      <c r="T4" s="67"/>
      <c r="U4" s="67"/>
      <c r="V4" s="67"/>
      <c r="W4" s="67"/>
      <c r="X4" s="67"/>
      <c r="Y4" s="67"/>
      <c r="Z4" s="67"/>
    </row>
    <row r="5" spans="1:26" ht="19.5" customHeight="1" x14ac:dyDescent="0.3">
      <c r="A5" s="69" t="s">
        <v>321</v>
      </c>
      <c r="B5" s="70" t="s">
        <v>323</v>
      </c>
      <c r="C5" s="70" t="s">
        <v>326</v>
      </c>
      <c r="D5" s="70" t="s">
        <v>325</v>
      </c>
      <c r="E5" s="71" t="s">
        <v>327</v>
      </c>
      <c r="F5" s="124" t="s">
        <v>328</v>
      </c>
      <c r="G5" s="124"/>
      <c r="H5" s="124"/>
      <c r="I5" s="72"/>
      <c r="J5" s="67" t="s">
        <v>326</v>
      </c>
      <c r="K5" s="67"/>
      <c r="L5" s="67"/>
      <c r="M5" s="67"/>
      <c r="N5" s="67"/>
      <c r="O5" s="67"/>
      <c r="P5" s="67"/>
      <c r="Q5" s="67"/>
      <c r="R5" s="67"/>
      <c r="S5" s="67"/>
      <c r="T5" s="67"/>
      <c r="U5" s="67"/>
      <c r="V5" s="67"/>
      <c r="W5" s="67"/>
      <c r="X5" s="67"/>
      <c r="Y5" s="67"/>
      <c r="Z5" s="67"/>
    </row>
    <row r="6" spans="1:26" ht="15" customHeight="1" x14ac:dyDescent="0.3">
      <c r="A6" s="73">
        <f>COUNTIF(F9:F996,"Passed")</f>
        <v>49</v>
      </c>
      <c r="B6" s="73">
        <f>COUNTIF(F9:F996,"Failed")</f>
        <v>12</v>
      </c>
      <c r="C6" s="73">
        <f>F6-E6-D6-B6-A6</f>
        <v>0</v>
      </c>
      <c r="D6" s="73">
        <f>COUNTIF(F$9:F$996,"Blocked")</f>
        <v>0</v>
      </c>
      <c r="E6" s="74">
        <f>COUNTIF(F$9:F$996,"Skipped")</f>
        <v>0</v>
      </c>
      <c r="F6" s="125">
        <f>COUNTA(A9:A996)</f>
        <v>61</v>
      </c>
      <c r="G6" s="125"/>
      <c r="H6" s="125"/>
      <c r="I6" s="72"/>
      <c r="J6" s="67" t="s">
        <v>327</v>
      </c>
      <c r="K6" s="67"/>
      <c r="L6" s="67"/>
      <c r="M6" s="67"/>
      <c r="N6" s="67"/>
      <c r="O6" s="67"/>
      <c r="P6" s="67"/>
      <c r="Q6" s="67"/>
      <c r="R6" s="67"/>
      <c r="S6" s="67"/>
      <c r="T6" s="67"/>
      <c r="U6" s="67"/>
      <c r="V6" s="67"/>
      <c r="W6" s="67"/>
      <c r="X6" s="67"/>
      <c r="Y6" s="67"/>
      <c r="Z6" s="67"/>
    </row>
    <row r="7" spans="1:26" ht="15" customHeight="1" x14ac:dyDescent="0.3">
      <c r="A7" s="67"/>
      <c r="B7" s="67"/>
      <c r="C7" s="67"/>
      <c r="D7" s="75"/>
      <c r="E7" s="75"/>
      <c r="F7" s="76"/>
      <c r="G7" s="76"/>
      <c r="H7" s="76"/>
      <c r="I7" s="72"/>
      <c r="J7" s="67"/>
      <c r="K7" s="67"/>
      <c r="L7" s="67"/>
      <c r="M7" s="67"/>
      <c r="N7" s="67"/>
      <c r="O7" s="67"/>
      <c r="P7" s="67"/>
      <c r="Q7" s="67"/>
      <c r="R7" s="67"/>
      <c r="S7" s="67"/>
      <c r="T7" s="67"/>
      <c r="U7" s="67"/>
      <c r="V7" s="67"/>
      <c r="W7" s="67"/>
      <c r="X7" s="67"/>
      <c r="Y7" s="67"/>
      <c r="Z7" s="67"/>
    </row>
    <row r="8" spans="1:26" ht="25.5" customHeight="1" x14ac:dyDescent="0.3">
      <c r="A8" s="77" t="s">
        <v>329</v>
      </c>
      <c r="B8" s="78" t="s">
        <v>330</v>
      </c>
      <c r="C8" s="78" t="s">
        <v>331</v>
      </c>
      <c r="D8" s="78" t="s">
        <v>332</v>
      </c>
      <c r="E8" s="79" t="s">
        <v>333</v>
      </c>
      <c r="F8" s="79" t="s">
        <v>334</v>
      </c>
      <c r="G8" s="79" t="s">
        <v>335</v>
      </c>
      <c r="H8" s="80" t="s">
        <v>53</v>
      </c>
      <c r="I8" s="81"/>
      <c r="J8" s="67"/>
      <c r="K8" s="67"/>
      <c r="L8" s="67"/>
      <c r="M8" s="67"/>
      <c r="N8" s="67"/>
      <c r="O8" s="67"/>
      <c r="P8" s="67"/>
      <c r="Q8" s="67"/>
      <c r="R8" s="67"/>
      <c r="S8" s="67"/>
      <c r="T8" s="67"/>
      <c r="U8" s="67"/>
      <c r="V8" s="67"/>
      <c r="W8" s="67"/>
      <c r="X8" s="67"/>
      <c r="Y8" s="67"/>
      <c r="Z8" s="67"/>
    </row>
    <row r="9" spans="1:26" ht="109.5" customHeight="1" x14ac:dyDescent="0.3">
      <c r="A9" s="82" t="s">
        <v>838</v>
      </c>
      <c r="B9" s="83" t="s">
        <v>262</v>
      </c>
      <c r="C9" s="83" t="s">
        <v>839</v>
      </c>
      <c r="D9" s="83" t="s">
        <v>840</v>
      </c>
      <c r="E9" s="83"/>
      <c r="F9" s="84" t="s">
        <v>321</v>
      </c>
      <c r="G9" s="85"/>
      <c r="H9" s="86"/>
      <c r="I9" s="87"/>
      <c r="J9" s="8"/>
      <c r="K9" s="8"/>
      <c r="L9" s="8"/>
      <c r="M9" s="8"/>
      <c r="N9" s="8"/>
      <c r="O9" s="8"/>
      <c r="P9" s="8"/>
      <c r="Q9" s="8"/>
      <c r="R9" s="8"/>
      <c r="S9" s="8"/>
      <c r="T9" s="8"/>
      <c r="U9" s="8"/>
      <c r="V9" s="8"/>
      <c r="W9" s="8"/>
      <c r="X9" s="8"/>
      <c r="Y9" s="8"/>
      <c r="Z9" s="8"/>
    </row>
    <row r="10" spans="1:26" ht="109.5" customHeight="1" x14ac:dyDescent="0.3">
      <c r="A10" s="82" t="s">
        <v>841</v>
      </c>
      <c r="B10" s="83" t="s">
        <v>263</v>
      </c>
      <c r="C10" s="83" t="s">
        <v>842</v>
      </c>
      <c r="D10" s="83" t="s">
        <v>843</v>
      </c>
      <c r="E10" s="83"/>
      <c r="F10" s="84" t="s">
        <v>321</v>
      </c>
      <c r="G10" s="85"/>
      <c r="H10" s="86"/>
      <c r="I10" s="87"/>
      <c r="J10" s="8"/>
      <c r="K10" s="8"/>
      <c r="L10" s="8"/>
      <c r="M10" s="8"/>
      <c r="N10" s="8"/>
      <c r="O10" s="8"/>
      <c r="P10" s="8"/>
      <c r="Q10" s="8"/>
      <c r="R10" s="8"/>
      <c r="S10" s="8"/>
      <c r="T10" s="8"/>
      <c r="U10" s="8"/>
      <c r="V10" s="8"/>
      <c r="W10" s="8"/>
      <c r="X10" s="8"/>
      <c r="Y10" s="8"/>
      <c r="Z10" s="8"/>
    </row>
    <row r="11" spans="1:26" ht="109.5" customHeight="1" x14ac:dyDescent="0.3">
      <c r="A11" s="82" t="s">
        <v>844</v>
      </c>
      <c r="B11" s="83" t="s">
        <v>264</v>
      </c>
      <c r="C11" s="83" t="s">
        <v>845</v>
      </c>
      <c r="D11" s="83" t="s">
        <v>846</v>
      </c>
      <c r="E11" s="83"/>
      <c r="F11" s="84" t="s">
        <v>321</v>
      </c>
      <c r="G11" s="85"/>
      <c r="H11" s="86"/>
      <c r="I11" s="88"/>
      <c r="J11" s="67"/>
      <c r="K11" s="67"/>
      <c r="L11" s="67"/>
      <c r="M11" s="67"/>
      <c r="N11" s="67"/>
      <c r="O11" s="67"/>
      <c r="P11" s="67"/>
      <c r="Q11" s="67"/>
      <c r="R11" s="67"/>
      <c r="S11" s="67"/>
      <c r="T11" s="67"/>
      <c r="U11" s="67"/>
      <c r="V11" s="67"/>
      <c r="W11" s="67"/>
      <c r="X11" s="67"/>
      <c r="Y11" s="67"/>
      <c r="Z11" s="67"/>
    </row>
    <row r="12" spans="1:26" ht="109.5" customHeight="1" x14ac:dyDescent="0.3">
      <c r="A12" s="82" t="s">
        <v>847</v>
      </c>
      <c r="B12" s="83" t="s">
        <v>166</v>
      </c>
      <c r="C12" s="83" t="s">
        <v>848</v>
      </c>
      <c r="D12" s="83" t="s">
        <v>849</v>
      </c>
      <c r="E12" s="83"/>
      <c r="F12" s="84" t="s">
        <v>321</v>
      </c>
      <c r="G12" s="85"/>
      <c r="H12" s="86"/>
      <c r="I12" s="87"/>
      <c r="J12" s="8"/>
      <c r="K12" s="8"/>
      <c r="L12" s="8"/>
      <c r="M12" s="8"/>
      <c r="N12" s="8"/>
      <c r="O12" s="8"/>
      <c r="P12" s="8"/>
      <c r="Q12" s="8"/>
      <c r="R12" s="8"/>
      <c r="S12" s="8"/>
      <c r="T12" s="8"/>
      <c r="U12" s="8"/>
      <c r="V12" s="8"/>
      <c r="W12" s="8"/>
      <c r="X12" s="8"/>
      <c r="Y12" s="8"/>
      <c r="Z12" s="8"/>
    </row>
    <row r="13" spans="1:26" ht="122.25" customHeight="1" x14ac:dyDescent="0.3">
      <c r="A13" s="82" t="s">
        <v>850</v>
      </c>
      <c r="B13" s="83" t="s">
        <v>167</v>
      </c>
      <c r="C13" s="83" t="s">
        <v>851</v>
      </c>
      <c r="D13" s="83" t="s">
        <v>852</v>
      </c>
      <c r="E13" s="83"/>
      <c r="F13" s="84" t="s">
        <v>321</v>
      </c>
      <c r="G13" s="85"/>
      <c r="H13" s="86"/>
      <c r="I13" s="89"/>
      <c r="J13" s="8"/>
      <c r="K13" s="8"/>
      <c r="L13" s="8"/>
      <c r="M13" s="8"/>
      <c r="N13" s="8"/>
      <c r="O13" s="8"/>
      <c r="P13" s="8"/>
      <c r="Q13" s="8"/>
      <c r="R13" s="8"/>
      <c r="S13" s="8"/>
      <c r="T13" s="8"/>
      <c r="U13" s="8"/>
      <c r="V13" s="8"/>
      <c r="W13" s="8"/>
      <c r="X13" s="8"/>
      <c r="Y13" s="8"/>
      <c r="Z13" s="8"/>
    </row>
    <row r="14" spans="1:26" ht="109.5" customHeight="1" x14ac:dyDescent="0.3">
      <c r="A14" s="82" t="s">
        <v>853</v>
      </c>
      <c r="B14" s="83" t="s">
        <v>168</v>
      </c>
      <c r="C14" s="83" t="s">
        <v>854</v>
      </c>
      <c r="D14" s="83" t="s">
        <v>596</v>
      </c>
      <c r="E14" s="83"/>
      <c r="F14" s="84" t="s">
        <v>321</v>
      </c>
      <c r="G14" s="85"/>
      <c r="H14" s="86"/>
      <c r="I14" s="88"/>
      <c r="J14" s="67"/>
      <c r="K14" s="67"/>
      <c r="L14" s="67"/>
      <c r="M14" s="67"/>
      <c r="N14" s="67"/>
      <c r="O14" s="67"/>
      <c r="P14" s="67"/>
      <c r="Q14" s="67"/>
      <c r="R14" s="67"/>
      <c r="S14" s="67"/>
      <c r="T14" s="67"/>
      <c r="U14" s="67"/>
      <c r="V14" s="67"/>
      <c r="W14" s="67"/>
      <c r="X14" s="67"/>
      <c r="Y14" s="67"/>
      <c r="Z14" s="67"/>
    </row>
    <row r="15" spans="1:26" ht="135" customHeight="1" x14ac:dyDescent="0.3">
      <c r="A15" s="82" t="s">
        <v>855</v>
      </c>
      <c r="B15" s="83" t="s">
        <v>169</v>
      </c>
      <c r="C15" s="83" t="s">
        <v>856</v>
      </c>
      <c r="D15" s="83" t="s">
        <v>857</v>
      </c>
      <c r="E15" s="83"/>
      <c r="F15" s="84" t="s">
        <v>321</v>
      </c>
      <c r="G15" s="85"/>
      <c r="H15" s="86" t="s">
        <v>265</v>
      </c>
      <c r="I15" s="87"/>
      <c r="J15" s="8"/>
      <c r="K15" s="8"/>
      <c r="L15" s="8"/>
      <c r="M15" s="8"/>
      <c r="N15" s="8"/>
      <c r="O15" s="8"/>
      <c r="P15" s="8"/>
      <c r="Q15" s="8"/>
      <c r="R15" s="8"/>
      <c r="S15" s="8"/>
      <c r="T15" s="8"/>
      <c r="U15" s="8"/>
      <c r="V15" s="8"/>
      <c r="W15" s="8"/>
      <c r="X15" s="8"/>
      <c r="Y15" s="8"/>
      <c r="Z15" s="8"/>
    </row>
    <row r="16" spans="1:26" ht="109.5" customHeight="1" x14ac:dyDescent="0.3">
      <c r="A16" s="82" t="s">
        <v>858</v>
      </c>
      <c r="B16" s="83" t="s">
        <v>170</v>
      </c>
      <c r="C16" s="83" t="s">
        <v>859</v>
      </c>
      <c r="D16" s="83" t="s">
        <v>860</v>
      </c>
      <c r="E16" s="83"/>
      <c r="F16" s="84" t="s">
        <v>321</v>
      </c>
      <c r="G16" s="85"/>
      <c r="H16" s="86"/>
      <c r="I16" s="89"/>
      <c r="J16" s="8"/>
      <c r="K16" s="8"/>
      <c r="L16" s="8"/>
      <c r="M16" s="8"/>
      <c r="N16" s="8"/>
      <c r="O16" s="8"/>
      <c r="P16" s="8"/>
      <c r="Q16" s="8"/>
      <c r="R16" s="8"/>
      <c r="S16" s="8"/>
      <c r="T16" s="8"/>
      <c r="U16" s="8"/>
      <c r="V16" s="8"/>
      <c r="W16" s="8"/>
      <c r="X16" s="8"/>
      <c r="Y16" s="8"/>
      <c r="Z16" s="8"/>
    </row>
    <row r="17" spans="1:26" ht="122.25" customHeight="1" x14ac:dyDescent="0.3">
      <c r="A17" s="82" t="s">
        <v>861</v>
      </c>
      <c r="B17" s="83" t="s">
        <v>171</v>
      </c>
      <c r="C17" s="83" t="s">
        <v>862</v>
      </c>
      <c r="D17" s="83" t="s">
        <v>863</v>
      </c>
      <c r="E17" s="83"/>
      <c r="F17" s="84" t="s">
        <v>321</v>
      </c>
      <c r="G17" s="85"/>
      <c r="H17" s="86" t="s">
        <v>266</v>
      </c>
      <c r="I17" s="89"/>
      <c r="J17" s="8"/>
      <c r="K17" s="8"/>
      <c r="L17" s="8"/>
      <c r="M17" s="8"/>
      <c r="N17" s="8"/>
      <c r="O17" s="8"/>
      <c r="P17" s="8"/>
      <c r="Q17" s="8"/>
      <c r="R17" s="8"/>
      <c r="S17" s="8"/>
      <c r="T17" s="8"/>
      <c r="U17" s="8"/>
      <c r="V17" s="8"/>
      <c r="W17" s="8"/>
      <c r="X17" s="8"/>
      <c r="Y17" s="8"/>
      <c r="Z17" s="8"/>
    </row>
    <row r="18" spans="1:26" ht="122.25" customHeight="1" x14ac:dyDescent="0.3">
      <c r="A18" s="82" t="s">
        <v>864</v>
      </c>
      <c r="B18" s="83" t="s">
        <v>174</v>
      </c>
      <c r="C18" s="83" t="s">
        <v>865</v>
      </c>
      <c r="D18" s="83" t="s">
        <v>866</v>
      </c>
      <c r="E18" s="83"/>
      <c r="F18" s="84" t="s">
        <v>321</v>
      </c>
      <c r="G18" s="85"/>
      <c r="H18" s="86"/>
      <c r="I18" s="89"/>
      <c r="J18" s="8"/>
      <c r="K18" s="8"/>
      <c r="L18" s="8"/>
      <c r="M18" s="8"/>
      <c r="N18" s="8"/>
      <c r="O18" s="8"/>
      <c r="P18" s="8"/>
      <c r="Q18" s="8"/>
      <c r="R18" s="8"/>
      <c r="S18" s="8"/>
      <c r="T18" s="8"/>
      <c r="U18" s="8"/>
      <c r="V18" s="8"/>
      <c r="W18" s="8"/>
      <c r="X18" s="8"/>
      <c r="Y18" s="8"/>
      <c r="Z18" s="8"/>
    </row>
    <row r="19" spans="1:26" ht="211.5" customHeight="1" x14ac:dyDescent="0.3">
      <c r="A19" s="82" t="s">
        <v>867</v>
      </c>
      <c r="B19" s="83" t="s">
        <v>268</v>
      </c>
      <c r="C19" s="83" t="s">
        <v>868</v>
      </c>
      <c r="D19" s="83" t="s">
        <v>869</v>
      </c>
      <c r="E19" s="83"/>
      <c r="F19" s="84" t="s">
        <v>323</v>
      </c>
      <c r="G19" s="85"/>
      <c r="H19" s="86" t="s">
        <v>269</v>
      </c>
      <c r="I19" s="89"/>
      <c r="J19" s="8"/>
      <c r="K19" s="8"/>
      <c r="L19" s="8"/>
      <c r="M19" s="8"/>
      <c r="N19" s="8"/>
      <c r="O19" s="8"/>
      <c r="P19" s="8"/>
      <c r="Q19" s="8"/>
      <c r="R19" s="8"/>
      <c r="S19" s="8"/>
      <c r="T19" s="8"/>
      <c r="U19" s="8"/>
      <c r="V19" s="8"/>
      <c r="W19" s="8"/>
      <c r="X19" s="8"/>
      <c r="Y19" s="8"/>
      <c r="Z19" s="8"/>
    </row>
    <row r="20" spans="1:26" ht="186" customHeight="1" x14ac:dyDescent="0.3">
      <c r="A20" s="82" t="s">
        <v>870</v>
      </c>
      <c r="B20" s="83" t="s">
        <v>270</v>
      </c>
      <c r="C20" s="83" t="s">
        <v>871</v>
      </c>
      <c r="D20" s="83" t="s">
        <v>872</v>
      </c>
      <c r="E20" s="83"/>
      <c r="F20" s="84" t="s">
        <v>321</v>
      </c>
      <c r="G20" s="85"/>
      <c r="H20" s="86" t="s">
        <v>271</v>
      </c>
      <c r="I20" s="89"/>
      <c r="J20" s="8"/>
      <c r="K20" s="8"/>
      <c r="L20" s="8"/>
      <c r="M20" s="8"/>
      <c r="N20" s="8"/>
      <c r="O20" s="8"/>
      <c r="P20" s="8"/>
      <c r="Q20" s="8"/>
      <c r="R20" s="8"/>
      <c r="S20" s="8"/>
      <c r="T20" s="8"/>
      <c r="U20" s="8"/>
      <c r="V20" s="8"/>
      <c r="W20" s="8"/>
      <c r="X20" s="8"/>
      <c r="Y20" s="8"/>
      <c r="Z20" s="8"/>
    </row>
    <row r="21" spans="1:26" ht="109.5" customHeight="1" x14ac:dyDescent="0.3">
      <c r="A21" s="82" t="s">
        <v>873</v>
      </c>
      <c r="B21" s="83" t="s">
        <v>272</v>
      </c>
      <c r="C21" s="83" t="s">
        <v>874</v>
      </c>
      <c r="D21" s="83" t="s">
        <v>875</v>
      </c>
      <c r="E21" s="83"/>
      <c r="F21" s="84" t="s">
        <v>321</v>
      </c>
      <c r="G21" s="85"/>
      <c r="H21" s="86" t="s">
        <v>273</v>
      </c>
      <c r="I21" s="89"/>
      <c r="J21" s="8"/>
      <c r="K21" s="8"/>
      <c r="L21" s="8"/>
      <c r="M21" s="8"/>
      <c r="N21" s="8"/>
      <c r="O21" s="8"/>
      <c r="P21" s="8"/>
      <c r="Q21" s="8"/>
      <c r="R21" s="8"/>
      <c r="S21" s="8"/>
      <c r="T21" s="8"/>
      <c r="U21" s="8"/>
      <c r="V21" s="8"/>
      <c r="W21" s="8"/>
      <c r="X21" s="8"/>
      <c r="Y21" s="8"/>
      <c r="Z21" s="8"/>
    </row>
    <row r="22" spans="1:26" ht="109.5" customHeight="1" x14ac:dyDescent="0.3">
      <c r="A22" s="82" t="s">
        <v>876</v>
      </c>
      <c r="B22" s="83" t="s">
        <v>274</v>
      </c>
      <c r="C22" s="83" t="s">
        <v>877</v>
      </c>
      <c r="D22" s="83" t="s">
        <v>878</v>
      </c>
      <c r="E22" s="83"/>
      <c r="F22" s="84" t="s">
        <v>321</v>
      </c>
      <c r="G22" s="85"/>
      <c r="H22" s="86" t="s">
        <v>275</v>
      </c>
      <c r="I22" s="89"/>
      <c r="J22" s="8"/>
      <c r="K22" s="8"/>
      <c r="L22" s="8"/>
      <c r="M22" s="8"/>
      <c r="N22" s="8"/>
      <c r="O22" s="8"/>
      <c r="P22" s="8"/>
      <c r="Q22" s="8"/>
      <c r="R22" s="8"/>
      <c r="S22" s="8"/>
      <c r="T22" s="8"/>
      <c r="U22" s="8"/>
      <c r="V22" s="8"/>
      <c r="W22" s="8"/>
      <c r="X22" s="8"/>
      <c r="Y22" s="8"/>
      <c r="Z22" s="8"/>
    </row>
    <row r="23" spans="1:26" ht="109.5" customHeight="1" x14ac:dyDescent="0.3">
      <c r="A23" s="82" t="s">
        <v>879</v>
      </c>
      <c r="B23" s="83" t="s">
        <v>276</v>
      </c>
      <c r="C23" s="83" t="s">
        <v>880</v>
      </c>
      <c r="D23" s="83" t="s">
        <v>881</v>
      </c>
      <c r="E23" s="83"/>
      <c r="F23" s="84" t="s">
        <v>321</v>
      </c>
      <c r="G23" s="85"/>
      <c r="H23" s="86" t="s">
        <v>209</v>
      </c>
      <c r="I23" s="89"/>
      <c r="J23" s="8"/>
      <c r="K23" s="8"/>
      <c r="L23" s="8"/>
      <c r="M23" s="8"/>
      <c r="N23" s="8"/>
      <c r="O23" s="8"/>
      <c r="P23" s="8"/>
      <c r="Q23" s="8"/>
      <c r="R23" s="8"/>
      <c r="S23" s="8"/>
      <c r="T23" s="8"/>
      <c r="U23" s="8"/>
      <c r="V23" s="8"/>
      <c r="W23" s="8"/>
      <c r="X23" s="8"/>
      <c r="Y23" s="8"/>
      <c r="Z23" s="8"/>
    </row>
    <row r="24" spans="1:26" ht="160.5" customHeight="1" x14ac:dyDescent="0.3">
      <c r="A24" s="82" t="s">
        <v>882</v>
      </c>
      <c r="B24" s="83" t="s">
        <v>277</v>
      </c>
      <c r="C24" s="83" t="s">
        <v>883</v>
      </c>
      <c r="D24" s="83" t="s">
        <v>884</v>
      </c>
      <c r="E24" s="83" t="s">
        <v>885</v>
      </c>
      <c r="F24" s="84" t="s">
        <v>321</v>
      </c>
      <c r="G24" s="85"/>
      <c r="H24" s="86" t="s">
        <v>172</v>
      </c>
      <c r="I24" s="89"/>
      <c r="J24" s="8"/>
      <c r="K24" s="8"/>
      <c r="L24" s="8"/>
      <c r="M24" s="8"/>
      <c r="N24" s="8"/>
      <c r="O24" s="8"/>
      <c r="P24" s="8"/>
      <c r="Q24" s="8"/>
      <c r="R24" s="8"/>
      <c r="S24" s="8"/>
      <c r="T24" s="8"/>
      <c r="U24" s="8"/>
      <c r="V24" s="8"/>
      <c r="W24" s="8"/>
      <c r="X24" s="8"/>
      <c r="Y24" s="8"/>
      <c r="Z24" s="8"/>
    </row>
    <row r="25" spans="1:26" ht="160.5" customHeight="1" x14ac:dyDescent="0.3">
      <c r="A25" s="82" t="s">
        <v>886</v>
      </c>
      <c r="B25" s="83" t="s">
        <v>278</v>
      </c>
      <c r="C25" s="83" t="s">
        <v>887</v>
      </c>
      <c r="D25" s="83" t="s">
        <v>888</v>
      </c>
      <c r="E25" s="83" t="s">
        <v>885</v>
      </c>
      <c r="F25" s="84" t="s">
        <v>321</v>
      </c>
      <c r="G25" s="85"/>
      <c r="H25" s="86" t="s">
        <v>172</v>
      </c>
      <c r="I25" s="89"/>
      <c r="J25" s="8"/>
      <c r="K25" s="8"/>
      <c r="L25" s="8"/>
      <c r="M25" s="8"/>
      <c r="N25" s="8"/>
      <c r="O25" s="8"/>
      <c r="P25" s="8"/>
      <c r="Q25" s="8"/>
      <c r="R25" s="8"/>
      <c r="S25" s="8"/>
      <c r="T25" s="8"/>
      <c r="U25" s="8"/>
      <c r="V25" s="8"/>
      <c r="W25" s="8"/>
      <c r="X25" s="8"/>
      <c r="Y25" s="8"/>
      <c r="Z25" s="8"/>
    </row>
    <row r="26" spans="1:26" ht="160.5" customHeight="1" x14ac:dyDescent="0.3">
      <c r="A26" s="82" t="s">
        <v>889</v>
      </c>
      <c r="B26" s="83" t="s">
        <v>279</v>
      </c>
      <c r="C26" s="83" t="s">
        <v>890</v>
      </c>
      <c r="D26" s="83" t="s">
        <v>891</v>
      </c>
      <c r="E26" s="83" t="s">
        <v>867</v>
      </c>
      <c r="F26" s="84" t="s">
        <v>321</v>
      </c>
      <c r="G26" s="85"/>
      <c r="H26" s="86" t="s">
        <v>178</v>
      </c>
      <c r="I26" s="89"/>
      <c r="J26" s="8"/>
      <c r="K26" s="8"/>
      <c r="L26" s="8"/>
      <c r="M26" s="8"/>
      <c r="N26" s="8"/>
      <c r="O26" s="8"/>
      <c r="P26" s="8"/>
      <c r="Q26" s="8"/>
      <c r="R26" s="8"/>
      <c r="S26" s="8"/>
      <c r="T26" s="8"/>
      <c r="U26" s="8"/>
      <c r="V26" s="8"/>
      <c r="W26" s="8"/>
      <c r="X26" s="8"/>
      <c r="Y26" s="8"/>
      <c r="Z26" s="8"/>
    </row>
    <row r="27" spans="1:26" ht="122.25" customHeight="1" x14ac:dyDescent="0.3">
      <c r="A27" s="82" t="s">
        <v>892</v>
      </c>
      <c r="B27" s="83" t="s">
        <v>280</v>
      </c>
      <c r="C27" s="83" t="s">
        <v>893</v>
      </c>
      <c r="D27" s="83" t="s">
        <v>620</v>
      </c>
      <c r="E27" s="83"/>
      <c r="F27" s="84" t="s">
        <v>321</v>
      </c>
      <c r="G27" s="85"/>
      <c r="H27" s="86" t="s">
        <v>180</v>
      </c>
      <c r="I27" s="89"/>
      <c r="J27" s="8"/>
      <c r="K27" s="8"/>
      <c r="L27" s="8"/>
      <c r="M27" s="8"/>
      <c r="N27" s="8"/>
      <c r="O27" s="8"/>
      <c r="P27" s="8"/>
      <c r="Q27" s="8"/>
      <c r="R27" s="8"/>
      <c r="S27" s="8"/>
      <c r="T27" s="8"/>
      <c r="U27" s="8"/>
      <c r="V27" s="8"/>
      <c r="W27" s="8"/>
      <c r="X27" s="8"/>
      <c r="Y27" s="8"/>
      <c r="Z27" s="8"/>
    </row>
    <row r="28" spans="1:26" ht="122.25" customHeight="1" x14ac:dyDescent="0.3">
      <c r="A28" s="82" t="s">
        <v>894</v>
      </c>
      <c r="B28" s="83" t="s">
        <v>281</v>
      </c>
      <c r="C28" s="83" t="s">
        <v>895</v>
      </c>
      <c r="D28" s="83" t="s">
        <v>896</v>
      </c>
      <c r="E28" s="83"/>
      <c r="F28" s="84" t="s">
        <v>323</v>
      </c>
      <c r="G28" s="85"/>
      <c r="H28" s="86" t="s">
        <v>282</v>
      </c>
      <c r="I28" s="89"/>
      <c r="J28" s="8"/>
      <c r="K28" s="8"/>
      <c r="L28" s="8"/>
      <c r="M28" s="8"/>
      <c r="N28" s="8"/>
      <c r="O28" s="8"/>
      <c r="P28" s="8"/>
      <c r="Q28" s="8"/>
      <c r="R28" s="8"/>
      <c r="S28" s="8"/>
      <c r="T28" s="8"/>
      <c r="U28" s="8"/>
      <c r="V28" s="8"/>
      <c r="W28" s="8"/>
      <c r="X28" s="8"/>
      <c r="Y28" s="8"/>
      <c r="Z28" s="8"/>
    </row>
    <row r="29" spans="1:26" ht="160.5" customHeight="1" x14ac:dyDescent="0.3">
      <c r="A29" s="82" t="s">
        <v>897</v>
      </c>
      <c r="B29" s="83" t="s">
        <v>283</v>
      </c>
      <c r="C29" s="83" t="s">
        <v>898</v>
      </c>
      <c r="D29" s="83" t="s">
        <v>899</v>
      </c>
      <c r="E29" s="83" t="s">
        <v>885</v>
      </c>
      <c r="F29" s="84" t="s">
        <v>321</v>
      </c>
      <c r="G29" s="85"/>
      <c r="H29" s="86" t="s">
        <v>172</v>
      </c>
      <c r="I29" s="89"/>
      <c r="J29" s="8"/>
      <c r="K29" s="8"/>
      <c r="L29" s="8"/>
      <c r="M29" s="8"/>
      <c r="N29" s="8"/>
      <c r="O29" s="8"/>
      <c r="P29" s="8"/>
      <c r="Q29" s="8"/>
      <c r="R29" s="8"/>
      <c r="S29" s="8"/>
      <c r="T29" s="8"/>
      <c r="U29" s="8"/>
      <c r="V29" s="8"/>
      <c r="W29" s="8"/>
      <c r="X29" s="8"/>
      <c r="Y29" s="8"/>
      <c r="Z29" s="8"/>
    </row>
    <row r="30" spans="1:26" ht="160.5" customHeight="1" x14ac:dyDescent="0.3">
      <c r="A30" s="82" t="s">
        <v>900</v>
      </c>
      <c r="B30" s="83" t="s">
        <v>284</v>
      </c>
      <c r="C30" s="83" t="s">
        <v>901</v>
      </c>
      <c r="D30" s="83" t="s">
        <v>902</v>
      </c>
      <c r="E30" s="83" t="s">
        <v>885</v>
      </c>
      <c r="F30" s="84" t="s">
        <v>321</v>
      </c>
      <c r="G30" s="85"/>
      <c r="H30" s="86" t="s">
        <v>172</v>
      </c>
      <c r="I30" s="89"/>
      <c r="J30" s="8"/>
      <c r="K30" s="8"/>
      <c r="L30" s="8"/>
      <c r="M30" s="8"/>
      <c r="N30" s="8"/>
      <c r="O30" s="8"/>
      <c r="P30" s="8"/>
      <c r="Q30" s="8"/>
      <c r="R30" s="8"/>
      <c r="S30" s="8"/>
      <c r="T30" s="8"/>
      <c r="U30" s="8"/>
      <c r="V30" s="8"/>
      <c r="W30" s="8"/>
      <c r="X30" s="8"/>
      <c r="Y30" s="8"/>
      <c r="Z30" s="8"/>
    </row>
    <row r="31" spans="1:26" ht="160.5" customHeight="1" x14ac:dyDescent="0.3">
      <c r="A31" s="82" t="s">
        <v>903</v>
      </c>
      <c r="B31" s="83" t="s">
        <v>285</v>
      </c>
      <c r="C31" s="83" t="s">
        <v>904</v>
      </c>
      <c r="D31" s="83" t="s">
        <v>905</v>
      </c>
      <c r="E31" s="83" t="s">
        <v>885</v>
      </c>
      <c r="F31" s="84" t="s">
        <v>321</v>
      </c>
      <c r="G31" s="85"/>
      <c r="H31" s="86" t="s">
        <v>286</v>
      </c>
      <c r="I31" s="89"/>
      <c r="J31" s="8"/>
      <c r="K31" s="8"/>
      <c r="L31" s="8"/>
      <c r="M31" s="8"/>
      <c r="N31" s="8"/>
      <c r="O31" s="8"/>
      <c r="P31" s="8"/>
      <c r="Q31" s="8"/>
      <c r="R31" s="8"/>
      <c r="S31" s="8"/>
      <c r="T31" s="8"/>
      <c r="U31" s="8"/>
      <c r="V31" s="8"/>
      <c r="W31" s="8"/>
      <c r="X31" s="8"/>
      <c r="Y31" s="8"/>
      <c r="Z31" s="8"/>
    </row>
    <row r="32" spans="1:26" ht="173.25" customHeight="1" x14ac:dyDescent="0.3">
      <c r="A32" s="82" t="s">
        <v>906</v>
      </c>
      <c r="B32" s="83" t="s">
        <v>287</v>
      </c>
      <c r="C32" s="83" t="s">
        <v>907</v>
      </c>
      <c r="D32" s="83" t="s">
        <v>908</v>
      </c>
      <c r="E32" s="83" t="s">
        <v>885</v>
      </c>
      <c r="F32" s="84" t="s">
        <v>321</v>
      </c>
      <c r="G32" s="85"/>
      <c r="H32" s="86" t="s">
        <v>288</v>
      </c>
      <c r="I32" s="89"/>
      <c r="J32" s="8"/>
      <c r="K32" s="8"/>
      <c r="L32" s="8"/>
      <c r="M32" s="8"/>
      <c r="N32" s="8"/>
      <c r="O32" s="8"/>
      <c r="P32" s="8"/>
      <c r="Q32" s="8"/>
      <c r="R32" s="8"/>
      <c r="S32" s="8"/>
      <c r="T32" s="8"/>
      <c r="U32" s="8"/>
      <c r="V32" s="8"/>
      <c r="W32" s="8"/>
      <c r="X32" s="8"/>
      <c r="Y32" s="8"/>
      <c r="Z32" s="8"/>
    </row>
    <row r="33" spans="1:26" ht="160.5" customHeight="1" x14ac:dyDescent="0.3">
      <c r="A33" s="82" t="s">
        <v>909</v>
      </c>
      <c r="B33" s="83" t="s">
        <v>189</v>
      </c>
      <c r="C33" s="83" t="s">
        <v>910</v>
      </c>
      <c r="D33" s="83" t="s">
        <v>911</v>
      </c>
      <c r="E33" s="83" t="s">
        <v>885</v>
      </c>
      <c r="F33" s="84" t="s">
        <v>321</v>
      </c>
      <c r="G33" s="85"/>
      <c r="H33" s="86" t="s">
        <v>289</v>
      </c>
      <c r="I33" s="89"/>
      <c r="J33" s="8"/>
      <c r="K33" s="8"/>
      <c r="L33" s="8"/>
      <c r="M33" s="8"/>
      <c r="N33" s="8"/>
      <c r="O33" s="8"/>
      <c r="P33" s="8"/>
      <c r="Q33" s="8"/>
      <c r="R33" s="8"/>
      <c r="S33" s="8"/>
      <c r="T33" s="8"/>
      <c r="U33" s="8"/>
      <c r="V33" s="8"/>
      <c r="W33" s="8"/>
      <c r="X33" s="8"/>
      <c r="Y33" s="8"/>
      <c r="Z33" s="8"/>
    </row>
    <row r="34" spans="1:26" ht="160.5" customHeight="1" x14ac:dyDescent="0.3">
      <c r="A34" s="82" t="s">
        <v>912</v>
      </c>
      <c r="B34" s="83" t="s">
        <v>191</v>
      </c>
      <c r="C34" s="83" t="s">
        <v>913</v>
      </c>
      <c r="D34" s="83" t="s">
        <v>914</v>
      </c>
      <c r="E34" s="83" t="s">
        <v>885</v>
      </c>
      <c r="F34" s="84" t="s">
        <v>321</v>
      </c>
      <c r="G34" s="85"/>
      <c r="H34" s="86" t="s">
        <v>289</v>
      </c>
      <c r="I34" s="89"/>
      <c r="J34" s="8"/>
      <c r="K34" s="8"/>
      <c r="L34" s="8"/>
      <c r="M34" s="8"/>
      <c r="N34" s="8"/>
      <c r="O34" s="8"/>
      <c r="P34" s="8"/>
      <c r="Q34" s="8"/>
      <c r="R34" s="8"/>
      <c r="S34" s="8"/>
      <c r="T34" s="8"/>
      <c r="U34" s="8"/>
      <c r="V34" s="8"/>
      <c r="W34" s="8"/>
      <c r="X34" s="8"/>
      <c r="Y34" s="8"/>
      <c r="Z34" s="8"/>
    </row>
    <row r="35" spans="1:26" ht="173.25" customHeight="1" x14ac:dyDescent="0.3">
      <c r="A35" s="82" t="s">
        <v>915</v>
      </c>
      <c r="B35" s="83" t="s">
        <v>193</v>
      </c>
      <c r="C35" s="83" t="s">
        <v>916</v>
      </c>
      <c r="D35" s="83" t="s">
        <v>917</v>
      </c>
      <c r="E35" s="83" t="s">
        <v>885</v>
      </c>
      <c r="F35" s="84" t="s">
        <v>321</v>
      </c>
      <c r="G35" s="85"/>
      <c r="H35" s="86" t="s">
        <v>289</v>
      </c>
      <c r="I35" s="89"/>
      <c r="J35" s="8"/>
      <c r="K35" s="8"/>
      <c r="L35" s="8"/>
      <c r="M35" s="8"/>
      <c r="N35" s="8"/>
      <c r="O35" s="8"/>
      <c r="P35" s="8"/>
      <c r="Q35" s="8"/>
      <c r="R35" s="8"/>
      <c r="S35" s="8"/>
      <c r="T35" s="8"/>
      <c r="U35" s="8"/>
      <c r="V35" s="8"/>
      <c r="W35" s="8"/>
      <c r="X35" s="8"/>
      <c r="Y35" s="8"/>
      <c r="Z35" s="8"/>
    </row>
    <row r="36" spans="1:26" ht="135" customHeight="1" x14ac:dyDescent="0.3">
      <c r="A36" s="82" t="s">
        <v>918</v>
      </c>
      <c r="B36" s="83" t="s">
        <v>194</v>
      </c>
      <c r="C36" s="83" t="s">
        <v>919</v>
      </c>
      <c r="D36" s="83" t="s">
        <v>652</v>
      </c>
      <c r="E36" s="83"/>
      <c r="F36" s="84" t="s">
        <v>323</v>
      </c>
      <c r="G36" s="85"/>
      <c r="H36" s="86" t="s">
        <v>195</v>
      </c>
      <c r="I36" s="89"/>
      <c r="J36" s="8"/>
      <c r="K36" s="8"/>
      <c r="L36" s="8"/>
      <c r="M36" s="8"/>
      <c r="N36" s="8"/>
      <c r="O36" s="8"/>
      <c r="P36" s="8"/>
      <c r="Q36" s="8"/>
      <c r="R36" s="8"/>
      <c r="S36" s="8"/>
      <c r="T36" s="8"/>
      <c r="U36" s="8"/>
      <c r="V36" s="8"/>
      <c r="W36" s="8"/>
      <c r="X36" s="8"/>
      <c r="Y36" s="8"/>
      <c r="Z36" s="8"/>
    </row>
    <row r="37" spans="1:26" ht="173.25" customHeight="1" x14ac:dyDescent="0.3">
      <c r="A37" s="82" t="s">
        <v>920</v>
      </c>
      <c r="B37" s="83" t="s">
        <v>198</v>
      </c>
      <c r="C37" s="83" t="s">
        <v>921</v>
      </c>
      <c r="D37" s="83" t="s">
        <v>922</v>
      </c>
      <c r="E37" s="83" t="s">
        <v>885</v>
      </c>
      <c r="F37" s="84" t="s">
        <v>321</v>
      </c>
      <c r="G37" s="85"/>
      <c r="H37" s="86" t="s">
        <v>172</v>
      </c>
      <c r="I37" s="89"/>
      <c r="J37" s="8"/>
      <c r="K37" s="8"/>
      <c r="L37" s="8"/>
      <c r="M37" s="8"/>
      <c r="N37" s="8"/>
      <c r="O37" s="8"/>
      <c r="P37" s="8"/>
      <c r="Q37" s="8"/>
      <c r="R37" s="8"/>
      <c r="S37" s="8"/>
      <c r="T37" s="8"/>
      <c r="U37" s="8"/>
      <c r="V37" s="8"/>
      <c r="W37" s="8"/>
      <c r="X37" s="8"/>
      <c r="Y37" s="8"/>
      <c r="Z37" s="8"/>
    </row>
    <row r="38" spans="1:26" ht="173.25" customHeight="1" x14ac:dyDescent="0.3">
      <c r="A38" s="82" t="s">
        <v>923</v>
      </c>
      <c r="B38" s="83" t="s">
        <v>199</v>
      </c>
      <c r="C38" s="83" t="s">
        <v>924</v>
      </c>
      <c r="D38" s="83" t="s">
        <v>661</v>
      </c>
      <c r="E38" s="83" t="s">
        <v>885</v>
      </c>
      <c r="F38" s="84" t="s">
        <v>321</v>
      </c>
      <c r="G38" s="85"/>
      <c r="H38" s="86" t="s">
        <v>172</v>
      </c>
      <c r="I38" s="89"/>
      <c r="J38" s="8"/>
      <c r="K38" s="8"/>
      <c r="L38" s="8"/>
      <c r="M38" s="8"/>
      <c r="N38" s="8"/>
      <c r="O38" s="8"/>
      <c r="P38" s="8"/>
      <c r="Q38" s="8"/>
      <c r="R38" s="8"/>
      <c r="S38" s="8"/>
      <c r="T38" s="8"/>
      <c r="U38" s="8"/>
      <c r="V38" s="8"/>
      <c r="W38" s="8"/>
      <c r="X38" s="8"/>
      <c r="Y38" s="8"/>
      <c r="Z38" s="8"/>
    </row>
    <row r="39" spans="1:26" ht="160.5" customHeight="1" x14ac:dyDescent="0.3">
      <c r="A39" s="82" t="s">
        <v>925</v>
      </c>
      <c r="B39" s="83" t="s">
        <v>200</v>
      </c>
      <c r="C39" s="83" t="s">
        <v>926</v>
      </c>
      <c r="D39" s="83" t="s">
        <v>927</v>
      </c>
      <c r="E39" s="83" t="s">
        <v>885</v>
      </c>
      <c r="F39" s="84" t="s">
        <v>321</v>
      </c>
      <c r="G39" s="85"/>
      <c r="H39" s="86" t="s">
        <v>172</v>
      </c>
      <c r="I39" s="89"/>
      <c r="J39" s="8"/>
      <c r="K39" s="8"/>
      <c r="L39" s="8"/>
      <c r="M39" s="8"/>
      <c r="N39" s="8"/>
      <c r="O39" s="8"/>
      <c r="P39" s="8"/>
      <c r="Q39" s="8"/>
      <c r="R39" s="8"/>
      <c r="S39" s="8"/>
      <c r="T39" s="8"/>
      <c r="U39" s="8"/>
      <c r="V39" s="8"/>
      <c r="W39" s="8"/>
      <c r="X39" s="8"/>
      <c r="Y39" s="8"/>
      <c r="Z39" s="8"/>
    </row>
    <row r="40" spans="1:26" ht="160.5" customHeight="1" x14ac:dyDescent="0.3">
      <c r="A40" s="82" t="s">
        <v>928</v>
      </c>
      <c r="B40" s="83" t="s">
        <v>201</v>
      </c>
      <c r="C40" s="83" t="s">
        <v>929</v>
      </c>
      <c r="D40" s="83" t="s">
        <v>667</v>
      </c>
      <c r="E40" s="83" t="s">
        <v>885</v>
      </c>
      <c r="F40" s="84" t="s">
        <v>323</v>
      </c>
      <c r="G40" s="85"/>
      <c r="H40" s="86" t="s">
        <v>290</v>
      </c>
      <c r="I40" s="89"/>
      <c r="J40" s="8"/>
      <c r="K40" s="8"/>
      <c r="L40" s="8"/>
      <c r="M40" s="8"/>
      <c r="N40" s="8"/>
      <c r="O40" s="8"/>
      <c r="P40" s="8"/>
      <c r="Q40" s="8"/>
      <c r="R40" s="8"/>
      <c r="S40" s="8"/>
      <c r="T40" s="8"/>
      <c r="U40" s="8"/>
      <c r="V40" s="8"/>
      <c r="W40" s="8"/>
      <c r="X40" s="8"/>
      <c r="Y40" s="8"/>
      <c r="Z40" s="8"/>
    </row>
    <row r="41" spans="1:26" ht="173.25" customHeight="1" x14ac:dyDescent="0.3">
      <c r="A41" s="82" t="s">
        <v>930</v>
      </c>
      <c r="B41" s="83" t="s">
        <v>291</v>
      </c>
      <c r="C41" s="83" t="s">
        <v>931</v>
      </c>
      <c r="D41" s="83" t="s">
        <v>932</v>
      </c>
      <c r="E41" s="83" t="s">
        <v>885</v>
      </c>
      <c r="F41" s="84" t="s">
        <v>321</v>
      </c>
      <c r="G41" s="85"/>
      <c r="H41" s="86" t="s">
        <v>142</v>
      </c>
      <c r="I41" s="89"/>
      <c r="J41" s="8"/>
      <c r="K41" s="8"/>
      <c r="L41" s="8"/>
      <c r="M41" s="8"/>
      <c r="N41" s="8"/>
      <c r="O41" s="8"/>
      <c r="P41" s="8"/>
      <c r="Q41" s="8"/>
      <c r="R41" s="8"/>
      <c r="S41" s="8"/>
      <c r="T41" s="8"/>
      <c r="U41" s="8"/>
      <c r="V41" s="8"/>
      <c r="W41" s="8"/>
      <c r="X41" s="8"/>
      <c r="Y41" s="8"/>
      <c r="Z41" s="8"/>
    </row>
    <row r="42" spans="1:26" ht="186" customHeight="1" x14ac:dyDescent="0.3">
      <c r="A42" s="82" t="s">
        <v>933</v>
      </c>
      <c r="B42" s="83" t="s">
        <v>292</v>
      </c>
      <c r="C42" s="83" t="s">
        <v>934</v>
      </c>
      <c r="D42" s="83" t="s">
        <v>935</v>
      </c>
      <c r="E42" s="83" t="s">
        <v>885</v>
      </c>
      <c r="F42" s="84" t="s">
        <v>321</v>
      </c>
      <c r="G42" s="85"/>
      <c r="H42" s="86" t="s">
        <v>172</v>
      </c>
      <c r="I42" s="89"/>
      <c r="J42" s="8"/>
      <c r="K42" s="8"/>
      <c r="L42" s="8"/>
      <c r="M42" s="8"/>
      <c r="N42" s="8"/>
      <c r="O42" s="8"/>
      <c r="P42" s="8"/>
      <c r="Q42" s="8"/>
      <c r="R42" s="8"/>
      <c r="S42" s="8"/>
      <c r="T42" s="8"/>
      <c r="U42" s="8"/>
      <c r="V42" s="8"/>
      <c r="W42" s="8"/>
      <c r="X42" s="8"/>
      <c r="Y42" s="8"/>
      <c r="Z42" s="8"/>
    </row>
    <row r="43" spans="1:26" ht="173.25" customHeight="1" x14ac:dyDescent="0.3">
      <c r="A43" s="82" t="s">
        <v>936</v>
      </c>
      <c r="B43" s="83" t="s">
        <v>293</v>
      </c>
      <c r="C43" s="83" t="s">
        <v>937</v>
      </c>
      <c r="D43" s="83" t="s">
        <v>938</v>
      </c>
      <c r="E43" s="83" t="s">
        <v>885</v>
      </c>
      <c r="F43" s="84" t="s">
        <v>321</v>
      </c>
      <c r="G43" s="85"/>
      <c r="H43" s="86" t="s">
        <v>172</v>
      </c>
      <c r="I43" s="89"/>
      <c r="J43" s="8"/>
      <c r="K43" s="8"/>
      <c r="L43" s="8"/>
      <c r="M43" s="8"/>
      <c r="N43" s="8"/>
      <c r="O43" s="8"/>
      <c r="P43" s="8"/>
      <c r="Q43" s="8"/>
      <c r="R43" s="8"/>
      <c r="S43" s="8"/>
      <c r="T43" s="8"/>
      <c r="U43" s="8"/>
      <c r="V43" s="8"/>
      <c r="W43" s="8"/>
      <c r="X43" s="8"/>
      <c r="Y43" s="8"/>
      <c r="Z43" s="8"/>
    </row>
    <row r="44" spans="1:26" ht="147.75" customHeight="1" x14ac:dyDescent="0.3">
      <c r="A44" s="82" t="s">
        <v>939</v>
      </c>
      <c r="B44" s="83" t="s">
        <v>294</v>
      </c>
      <c r="C44" s="83" t="s">
        <v>940</v>
      </c>
      <c r="D44" s="83" t="s">
        <v>941</v>
      </c>
      <c r="E44" s="83" t="s">
        <v>885</v>
      </c>
      <c r="F44" s="84" t="s">
        <v>321</v>
      </c>
      <c r="G44" s="85"/>
      <c r="H44" s="86" t="s">
        <v>295</v>
      </c>
      <c r="I44" s="89"/>
      <c r="J44" s="8"/>
      <c r="K44" s="8"/>
      <c r="L44" s="8"/>
      <c r="M44" s="8"/>
      <c r="N44" s="8"/>
      <c r="O44" s="8"/>
      <c r="P44" s="8"/>
      <c r="Q44" s="8"/>
      <c r="R44" s="8"/>
      <c r="S44" s="8"/>
      <c r="T44" s="8"/>
      <c r="U44" s="8"/>
      <c r="V44" s="8"/>
      <c r="W44" s="8"/>
      <c r="X44" s="8"/>
      <c r="Y44" s="8"/>
      <c r="Z44" s="8"/>
    </row>
    <row r="45" spans="1:26" ht="147.75" customHeight="1" x14ac:dyDescent="0.3">
      <c r="A45" s="82" t="s">
        <v>942</v>
      </c>
      <c r="B45" s="83" t="s">
        <v>296</v>
      </c>
      <c r="C45" s="83" t="s">
        <v>943</v>
      </c>
      <c r="D45" s="83" t="s">
        <v>944</v>
      </c>
      <c r="E45" s="83" t="s">
        <v>885</v>
      </c>
      <c r="F45" s="84" t="s">
        <v>321</v>
      </c>
      <c r="G45" s="85"/>
      <c r="H45" s="86" t="s">
        <v>297</v>
      </c>
      <c r="I45" s="89"/>
      <c r="J45" s="8"/>
      <c r="K45" s="8"/>
      <c r="L45" s="8"/>
      <c r="M45" s="8"/>
      <c r="N45" s="8"/>
      <c r="O45" s="8"/>
      <c r="P45" s="8"/>
      <c r="Q45" s="8"/>
      <c r="R45" s="8"/>
      <c r="S45" s="8"/>
      <c r="T45" s="8"/>
      <c r="U45" s="8"/>
      <c r="V45" s="8"/>
      <c r="W45" s="8"/>
      <c r="X45" s="8"/>
      <c r="Y45" s="8"/>
      <c r="Z45" s="8"/>
    </row>
    <row r="46" spans="1:26" ht="186" customHeight="1" x14ac:dyDescent="0.3">
      <c r="A46" s="82" t="s">
        <v>945</v>
      </c>
      <c r="B46" s="83" t="s">
        <v>206</v>
      </c>
      <c r="C46" s="83" t="s">
        <v>946</v>
      </c>
      <c r="D46" s="83" t="s">
        <v>947</v>
      </c>
      <c r="E46" s="83" t="s">
        <v>867</v>
      </c>
      <c r="F46" s="84" t="s">
        <v>321</v>
      </c>
      <c r="G46" s="85"/>
      <c r="H46" s="86" t="s">
        <v>172</v>
      </c>
      <c r="I46" s="89"/>
      <c r="J46" s="8"/>
      <c r="K46" s="8"/>
      <c r="L46" s="8"/>
      <c r="M46" s="8"/>
      <c r="N46" s="8"/>
      <c r="O46" s="8"/>
      <c r="P46" s="8"/>
      <c r="Q46" s="8"/>
      <c r="R46" s="8"/>
      <c r="S46" s="8"/>
      <c r="T46" s="8"/>
      <c r="U46" s="8"/>
      <c r="V46" s="8"/>
      <c r="W46" s="8"/>
      <c r="X46" s="8"/>
      <c r="Y46" s="8"/>
      <c r="Z46" s="8"/>
    </row>
    <row r="47" spans="1:26" ht="122.25" customHeight="1" x14ac:dyDescent="0.3">
      <c r="A47" s="82" t="s">
        <v>948</v>
      </c>
      <c r="B47" s="83" t="s">
        <v>208</v>
      </c>
      <c r="C47" s="83" t="s">
        <v>949</v>
      </c>
      <c r="D47" s="83" t="s">
        <v>679</v>
      </c>
      <c r="E47" s="83"/>
      <c r="F47" s="84" t="s">
        <v>321</v>
      </c>
      <c r="G47" s="85"/>
      <c r="H47" s="86" t="s">
        <v>209</v>
      </c>
      <c r="I47" s="89"/>
      <c r="J47" s="8"/>
      <c r="K47" s="8"/>
      <c r="L47" s="8"/>
      <c r="M47" s="8"/>
      <c r="N47" s="8"/>
      <c r="O47" s="8"/>
      <c r="P47" s="8"/>
      <c r="Q47" s="8"/>
      <c r="R47" s="8"/>
      <c r="S47" s="8"/>
      <c r="T47" s="8"/>
      <c r="U47" s="8"/>
      <c r="V47" s="8"/>
      <c r="W47" s="8"/>
      <c r="X47" s="8"/>
      <c r="Y47" s="8"/>
      <c r="Z47" s="8"/>
    </row>
    <row r="48" spans="1:26" ht="160.5" customHeight="1" x14ac:dyDescent="0.3">
      <c r="A48" s="82" t="s">
        <v>950</v>
      </c>
      <c r="B48" s="83" t="s">
        <v>210</v>
      </c>
      <c r="C48" s="83" t="s">
        <v>951</v>
      </c>
      <c r="D48" s="83" t="s">
        <v>952</v>
      </c>
      <c r="E48" s="83" t="s">
        <v>885</v>
      </c>
      <c r="F48" s="84" t="s">
        <v>321</v>
      </c>
      <c r="G48" s="85"/>
      <c r="H48" s="86" t="s">
        <v>172</v>
      </c>
      <c r="I48" s="89"/>
      <c r="J48" s="8"/>
      <c r="K48" s="8"/>
      <c r="L48" s="8"/>
      <c r="M48" s="8"/>
      <c r="N48" s="8"/>
      <c r="O48" s="8"/>
      <c r="P48" s="8"/>
      <c r="Q48" s="8"/>
      <c r="R48" s="8"/>
      <c r="S48" s="8"/>
      <c r="T48" s="8"/>
      <c r="U48" s="8"/>
      <c r="V48" s="8"/>
      <c r="W48" s="8"/>
      <c r="X48" s="8"/>
      <c r="Y48" s="8"/>
      <c r="Z48" s="8"/>
    </row>
    <row r="49" spans="1:26" ht="160.5" customHeight="1" x14ac:dyDescent="0.3">
      <c r="A49" s="82" t="s">
        <v>953</v>
      </c>
      <c r="B49" s="83" t="s">
        <v>211</v>
      </c>
      <c r="C49" s="83" t="s">
        <v>954</v>
      </c>
      <c r="D49" s="83" t="s">
        <v>685</v>
      </c>
      <c r="E49" s="83" t="s">
        <v>885</v>
      </c>
      <c r="F49" s="84" t="s">
        <v>321</v>
      </c>
      <c r="G49" s="85"/>
      <c r="H49" s="86" t="s">
        <v>172</v>
      </c>
      <c r="I49" s="89"/>
      <c r="J49" s="8"/>
      <c r="K49" s="8"/>
      <c r="L49" s="8"/>
      <c r="M49" s="8"/>
      <c r="N49" s="8"/>
      <c r="O49" s="8"/>
      <c r="P49" s="8"/>
      <c r="Q49" s="8"/>
      <c r="R49" s="8"/>
      <c r="S49" s="8"/>
      <c r="T49" s="8"/>
      <c r="U49" s="8"/>
      <c r="V49" s="8"/>
      <c r="W49" s="8"/>
      <c r="X49" s="8"/>
      <c r="Y49" s="8"/>
      <c r="Z49" s="8"/>
    </row>
    <row r="50" spans="1:26" ht="160.5" customHeight="1" x14ac:dyDescent="0.3">
      <c r="A50" s="82" t="s">
        <v>955</v>
      </c>
      <c r="B50" s="83" t="s">
        <v>212</v>
      </c>
      <c r="C50" s="83" t="s">
        <v>956</v>
      </c>
      <c r="D50" s="83" t="s">
        <v>688</v>
      </c>
      <c r="E50" s="83" t="s">
        <v>885</v>
      </c>
      <c r="F50" s="84" t="s">
        <v>321</v>
      </c>
      <c r="G50" s="85"/>
      <c r="H50" s="86" t="s">
        <v>213</v>
      </c>
      <c r="I50" s="89"/>
      <c r="J50" s="8"/>
      <c r="K50" s="8"/>
      <c r="L50" s="8"/>
      <c r="M50" s="8"/>
      <c r="N50" s="8"/>
      <c r="O50" s="8"/>
      <c r="P50" s="8"/>
      <c r="Q50" s="8"/>
      <c r="R50" s="8"/>
      <c r="S50" s="8"/>
      <c r="T50" s="8"/>
      <c r="U50" s="8"/>
      <c r="V50" s="8"/>
      <c r="W50" s="8"/>
      <c r="X50" s="8"/>
      <c r="Y50" s="8"/>
      <c r="Z50" s="8"/>
    </row>
    <row r="51" spans="1:26" ht="160.5" customHeight="1" x14ac:dyDescent="0.3">
      <c r="A51" s="82" t="s">
        <v>957</v>
      </c>
      <c r="B51" s="83" t="s">
        <v>299</v>
      </c>
      <c r="C51" s="83" t="s">
        <v>958</v>
      </c>
      <c r="D51" s="83" t="s">
        <v>959</v>
      </c>
      <c r="E51" s="83" t="s">
        <v>885</v>
      </c>
      <c r="F51" s="84" t="s">
        <v>321</v>
      </c>
      <c r="G51" s="85"/>
      <c r="H51" s="86" t="s">
        <v>300</v>
      </c>
      <c r="I51" s="89"/>
      <c r="J51" s="8"/>
      <c r="K51" s="8"/>
      <c r="L51" s="8"/>
      <c r="M51" s="8"/>
      <c r="N51" s="8"/>
      <c r="O51" s="8"/>
      <c r="P51" s="8"/>
      <c r="Q51" s="8"/>
      <c r="R51" s="8"/>
      <c r="S51" s="8"/>
      <c r="T51" s="8"/>
      <c r="U51" s="8"/>
      <c r="V51" s="8"/>
      <c r="W51" s="8"/>
      <c r="X51" s="8"/>
      <c r="Y51" s="8"/>
      <c r="Z51" s="8"/>
    </row>
    <row r="52" spans="1:26" ht="173.25" customHeight="1" x14ac:dyDescent="0.3">
      <c r="A52" s="82" t="s">
        <v>960</v>
      </c>
      <c r="B52" s="83" t="s">
        <v>301</v>
      </c>
      <c r="C52" s="83" t="s">
        <v>961</v>
      </c>
      <c r="D52" s="83" t="s">
        <v>962</v>
      </c>
      <c r="E52" s="83" t="s">
        <v>885</v>
      </c>
      <c r="F52" s="84" t="s">
        <v>323</v>
      </c>
      <c r="G52" s="85"/>
      <c r="H52" s="86" t="s">
        <v>302</v>
      </c>
      <c r="I52" s="89"/>
      <c r="J52" s="8"/>
      <c r="K52" s="8"/>
      <c r="L52" s="8"/>
      <c r="M52" s="8"/>
      <c r="N52" s="8"/>
      <c r="O52" s="8"/>
      <c r="P52" s="8"/>
      <c r="Q52" s="8"/>
      <c r="R52" s="8"/>
      <c r="S52" s="8"/>
      <c r="T52" s="8"/>
      <c r="U52" s="8"/>
      <c r="V52" s="8"/>
      <c r="W52" s="8"/>
      <c r="X52" s="8"/>
      <c r="Y52" s="8"/>
      <c r="Z52" s="8"/>
    </row>
    <row r="53" spans="1:26" ht="135" customHeight="1" x14ac:dyDescent="0.3">
      <c r="A53" s="82" t="s">
        <v>963</v>
      </c>
      <c r="B53" s="83" t="s">
        <v>303</v>
      </c>
      <c r="C53" s="83" t="s">
        <v>964</v>
      </c>
      <c r="D53" s="83" t="s">
        <v>965</v>
      </c>
      <c r="E53" s="83"/>
      <c r="F53" s="84" t="s">
        <v>323</v>
      </c>
      <c r="G53" s="85"/>
      <c r="H53" s="86" t="s">
        <v>304</v>
      </c>
      <c r="I53" s="89"/>
      <c r="J53" s="8"/>
      <c r="K53" s="8"/>
      <c r="L53" s="8"/>
      <c r="M53" s="8"/>
      <c r="N53" s="8"/>
      <c r="O53" s="8"/>
      <c r="P53" s="8"/>
      <c r="Q53" s="8"/>
      <c r="R53" s="8"/>
      <c r="S53" s="8"/>
      <c r="T53" s="8"/>
      <c r="U53" s="8"/>
      <c r="V53" s="8"/>
      <c r="W53" s="8"/>
      <c r="X53" s="8"/>
      <c r="Y53" s="8"/>
      <c r="Z53" s="8"/>
    </row>
    <row r="54" spans="1:26" ht="109.5" customHeight="1" x14ac:dyDescent="0.3">
      <c r="A54" s="82" t="s">
        <v>966</v>
      </c>
      <c r="B54" s="83" t="s">
        <v>306</v>
      </c>
      <c r="C54" s="83" t="s">
        <v>967</v>
      </c>
      <c r="D54" s="83" t="s">
        <v>968</v>
      </c>
      <c r="E54" s="83"/>
      <c r="F54" s="84" t="s">
        <v>321</v>
      </c>
      <c r="G54" s="85"/>
      <c r="H54" s="86" t="s">
        <v>307</v>
      </c>
      <c r="I54" s="89"/>
      <c r="J54" s="8"/>
      <c r="K54" s="8"/>
      <c r="L54" s="8"/>
      <c r="M54" s="8"/>
      <c r="N54" s="8"/>
      <c r="O54" s="8"/>
      <c r="P54" s="8"/>
      <c r="Q54" s="8"/>
      <c r="R54" s="8"/>
      <c r="S54" s="8"/>
      <c r="T54" s="8"/>
      <c r="U54" s="8"/>
      <c r="V54" s="8"/>
      <c r="W54" s="8"/>
      <c r="X54" s="8"/>
      <c r="Y54" s="8"/>
      <c r="Z54" s="8"/>
    </row>
    <row r="55" spans="1:26" ht="135" customHeight="1" x14ac:dyDescent="0.3">
      <c r="A55" s="82" t="s">
        <v>969</v>
      </c>
      <c r="B55" s="83" t="s">
        <v>308</v>
      </c>
      <c r="C55" s="83" t="s">
        <v>970</v>
      </c>
      <c r="D55" s="83" t="s">
        <v>971</v>
      </c>
      <c r="E55" s="83"/>
      <c r="F55" s="84" t="s">
        <v>321</v>
      </c>
      <c r="G55" s="85"/>
      <c r="H55" s="86"/>
      <c r="I55" s="89"/>
      <c r="J55" s="8"/>
      <c r="K55" s="8"/>
      <c r="L55" s="8"/>
      <c r="M55" s="8"/>
      <c r="N55" s="8"/>
      <c r="O55" s="8"/>
      <c r="P55" s="8"/>
      <c r="Q55" s="8"/>
      <c r="R55" s="8"/>
      <c r="S55" s="8"/>
      <c r="T55" s="8"/>
      <c r="U55" s="8"/>
      <c r="V55" s="8"/>
      <c r="W55" s="8"/>
      <c r="X55" s="8"/>
      <c r="Y55" s="8"/>
      <c r="Z55" s="8"/>
    </row>
    <row r="56" spans="1:26" ht="122.25" customHeight="1" x14ac:dyDescent="0.3">
      <c r="A56" s="82" t="s">
        <v>972</v>
      </c>
      <c r="B56" s="83" t="s">
        <v>309</v>
      </c>
      <c r="C56" s="83" t="s">
        <v>973</v>
      </c>
      <c r="D56" s="83" t="s">
        <v>974</v>
      </c>
      <c r="E56" s="83"/>
      <c r="F56" s="84" t="s">
        <v>323</v>
      </c>
      <c r="G56" s="85"/>
      <c r="H56" s="86" t="s">
        <v>310</v>
      </c>
      <c r="I56" s="89"/>
      <c r="J56" s="8"/>
      <c r="K56" s="8"/>
      <c r="L56" s="8"/>
      <c r="M56" s="8"/>
      <c r="N56" s="8"/>
      <c r="O56" s="8"/>
      <c r="P56" s="8"/>
      <c r="Q56" s="8"/>
      <c r="R56" s="8"/>
      <c r="S56" s="8"/>
      <c r="T56" s="8"/>
      <c r="U56" s="8"/>
      <c r="V56" s="8"/>
      <c r="W56" s="8"/>
      <c r="X56" s="8"/>
      <c r="Y56" s="8"/>
      <c r="Z56" s="8"/>
    </row>
    <row r="57" spans="1:26" ht="147.75" customHeight="1" x14ac:dyDescent="0.3">
      <c r="A57" s="82" t="s">
        <v>975</v>
      </c>
      <c r="B57" s="83" t="s">
        <v>311</v>
      </c>
      <c r="C57" s="83" t="s">
        <v>976</v>
      </c>
      <c r="D57" s="83" t="s">
        <v>977</v>
      </c>
      <c r="E57" s="83"/>
      <c r="F57" s="84" t="s">
        <v>323</v>
      </c>
      <c r="G57" s="85"/>
      <c r="H57" s="86" t="s">
        <v>310</v>
      </c>
      <c r="I57" s="89"/>
      <c r="J57" s="8"/>
      <c r="K57" s="8"/>
      <c r="L57" s="8"/>
      <c r="M57" s="8"/>
      <c r="N57" s="8"/>
      <c r="O57" s="8"/>
      <c r="P57" s="8"/>
      <c r="Q57" s="8"/>
      <c r="R57" s="8"/>
      <c r="S57" s="8"/>
      <c r="T57" s="8"/>
      <c r="U57" s="8"/>
      <c r="V57" s="8"/>
      <c r="W57" s="8"/>
      <c r="X57" s="8"/>
      <c r="Y57" s="8"/>
      <c r="Z57" s="8"/>
    </row>
    <row r="58" spans="1:26" ht="109.5" customHeight="1" x14ac:dyDescent="0.3">
      <c r="A58" s="82" t="s">
        <v>978</v>
      </c>
      <c r="B58" s="83" t="s">
        <v>215</v>
      </c>
      <c r="C58" s="83" t="s">
        <v>979</v>
      </c>
      <c r="D58" s="83" t="s">
        <v>980</v>
      </c>
      <c r="E58" s="83"/>
      <c r="F58" s="84" t="s">
        <v>321</v>
      </c>
      <c r="G58" s="85"/>
      <c r="H58" s="86"/>
      <c r="I58" s="89"/>
      <c r="J58" s="8"/>
      <c r="K58" s="8"/>
      <c r="L58" s="8"/>
      <c r="M58" s="8"/>
      <c r="N58" s="8"/>
      <c r="O58" s="8"/>
      <c r="P58" s="8"/>
      <c r="Q58" s="8"/>
      <c r="R58" s="8"/>
      <c r="S58" s="8"/>
      <c r="T58" s="8"/>
      <c r="U58" s="8"/>
      <c r="V58" s="8"/>
      <c r="W58" s="8"/>
      <c r="X58" s="8"/>
      <c r="Y58" s="8"/>
      <c r="Z58" s="8"/>
    </row>
    <row r="59" spans="1:26" ht="173.25" customHeight="1" x14ac:dyDescent="0.3">
      <c r="A59" s="82" t="s">
        <v>981</v>
      </c>
      <c r="B59" s="83" t="s">
        <v>216</v>
      </c>
      <c r="C59" s="83" t="s">
        <v>982</v>
      </c>
      <c r="D59" s="83" t="s">
        <v>983</v>
      </c>
      <c r="E59" s="83" t="s">
        <v>867</v>
      </c>
      <c r="F59" s="84" t="s">
        <v>321</v>
      </c>
      <c r="G59" s="85"/>
      <c r="H59" s="86" t="s">
        <v>172</v>
      </c>
      <c r="I59" s="89"/>
      <c r="J59" s="8"/>
      <c r="K59" s="8"/>
      <c r="L59" s="8"/>
      <c r="M59" s="8"/>
      <c r="N59" s="8"/>
      <c r="O59" s="8"/>
      <c r="P59" s="8"/>
      <c r="Q59" s="8"/>
      <c r="R59" s="8"/>
      <c r="S59" s="8"/>
      <c r="T59" s="8"/>
      <c r="U59" s="8"/>
      <c r="V59" s="8"/>
      <c r="W59" s="8"/>
      <c r="X59" s="8"/>
      <c r="Y59" s="8"/>
      <c r="Z59" s="8"/>
    </row>
    <row r="60" spans="1:26" ht="122.25" customHeight="1" x14ac:dyDescent="0.3">
      <c r="A60" s="82" t="s">
        <v>984</v>
      </c>
      <c r="B60" s="83" t="s">
        <v>217</v>
      </c>
      <c r="C60" s="83" t="s">
        <v>985</v>
      </c>
      <c r="D60" s="83" t="s">
        <v>986</v>
      </c>
      <c r="E60" s="83"/>
      <c r="F60" s="84" t="s">
        <v>321</v>
      </c>
      <c r="G60" s="85"/>
      <c r="H60" s="86"/>
      <c r="I60" s="89"/>
      <c r="J60" s="8"/>
      <c r="K60" s="8"/>
      <c r="L60" s="8"/>
      <c r="M60" s="8"/>
      <c r="N60" s="8"/>
      <c r="O60" s="8"/>
      <c r="P60" s="8"/>
      <c r="Q60" s="8"/>
      <c r="R60" s="8"/>
      <c r="S60" s="8"/>
      <c r="T60" s="8"/>
      <c r="U60" s="8"/>
      <c r="V60" s="8"/>
      <c r="W60" s="8"/>
      <c r="X60" s="8"/>
      <c r="Y60" s="8"/>
      <c r="Z60" s="8"/>
    </row>
    <row r="61" spans="1:26" ht="109.5" customHeight="1" x14ac:dyDescent="0.3">
      <c r="A61" s="82" t="s">
        <v>987</v>
      </c>
      <c r="B61" s="83" t="s">
        <v>312</v>
      </c>
      <c r="C61" s="83" t="s">
        <v>988</v>
      </c>
      <c r="D61" s="83" t="s">
        <v>989</v>
      </c>
      <c r="E61" s="83"/>
      <c r="F61" s="84" t="s">
        <v>321</v>
      </c>
      <c r="G61" s="85"/>
      <c r="H61" s="86" t="s">
        <v>219</v>
      </c>
      <c r="I61" s="89"/>
      <c r="J61" s="8"/>
      <c r="K61" s="8"/>
      <c r="L61" s="8"/>
      <c r="M61" s="8"/>
      <c r="N61" s="8"/>
      <c r="O61" s="8"/>
      <c r="P61" s="8"/>
      <c r="Q61" s="8"/>
      <c r="R61" s="8"/>
      <c r="S61" s="8"/>
      <c r="T61" s="8"/>
      <c r="U61" s="8"/>
      <c r="V61" s="8"/>
      <c r="W61" s="8"/>
      <c r="X61" s="8"/>
      <c r="Y61" s="8"/>
      <c r="Z61" s="8"/>
    </row>
    <row r="62" spans="1:26" ht="160.5" customHeight="1" x14ac:dyDescent="0.3">
      <c r="A62" s="82" t="s">
        <v>990</v>
      </c>
      <c r="B62" s="83" t="s">
        <v>220</v>
      </c>
      <c r="C62" s="83" t="s">
        <v>991</v>
      </c>
      <c r="D62" s="83" t="s">
        <v>703</v>
      </c>
      <c r="E62" s="83" t="s">
        <v>885</v>
      </c>
      <c r="F62" s="84" t="s">
        <v>323</v>
      </c>
      <c r="G62" s="85"/>
      <c r="H62" s="86" t="s">
        <v>221</v>
      </c>
      <c r="I62" s="89"/>
      <c r="J62" s="8"/>
      <c r="K62" s="8"/>
      <c r="L62" s="8"/>
      <c r="M62" s="8"/>
      <c r="N62" s="8"/>
      <c r="O62" s="8"/>
      <c r="P62" s="8"/>
      <c r="Q62" s="8"/>
      <c r="R62" s="8"/>
      <c r="S62" s="8"/>
      <c r="T62" s="8"/>
      <c r="U62" s="8"/>
      <c r="V62" s="8"/>
      <c r="W62" s="8"/>
      <c r="X62" s="8"/>
      <c r="Y62" s="8"/>
      <c r="Z62" s="8"/>
    </row>
    <row r="63" spans="1:26" ht="160.5" customHeight="1" x14ac:dyDescent="0.3">
      <c r="A63" s="82" t="s">
        <v>992</v>
      </c>
      <c r="B63" s="83" t="s">
        <v>222</v>
      </c>
      <c r="C63" s="83" t="s">
        <v>993</v>
      </c>
      <c r="D63" s="83" t="s">
        <v>994</v>
      </c>
      <c r="E63" s="83" t="s">
        <v>867</v>
      </c>
      <c r="F63" s="84" t="s">
        <v>321</v>
      </c>
      <c r="G63" s="85"/>
      <c r="H63" s="86" t="s">
        <v>172</v>
      </c>
      <c r="I63" s="89"/>
      <c r="J63" s="8"/>
      <c r="K63" s="8"/>
      <c r="L63" s="8"/>
      <c r="M63" s="8"/>
      <c r="N63" s="8"/>
      <c r="O63" s="8"/>
      <c r="P63" s="8"/>
      <c r="Q63" s="8"/>
      <c r="R63" s="8"/>
      <c r="S63" s="8"/>
      <c r="T63" s="8"/>
      <c r="U63" s="8"/>
      <c r="V63" s="8"/>
      <c r="W63" s="8"/>
      <c r="X63" s="8"/>
      <c r="Y63" s="8"/>
      <c r="Z63" s="8"/>
    </row>
    <row r="64" spans="1:26" ht="122.25" customHeight="1" x14ac:dyDescent="0.3">
      <c r="A64" s="82" t="s">
        <v>995</v>
      </c>
      <c r="B64" s="83" t="s">
        <v>313</v>
      </c>
      <c r="C64" s="83" t="s">
        <v>996</v>
      </c>
      <c r="D64" s="83" t="s">
        <v>709</v>
      </c>
      <c r="E64" s="83"/>
      <c r="F64" s="84" t="s">
        <v>323</v>
      </c>
      <c r="G64" s="85"/>
      <c r="H64" s="86"/>
      <c r="I64" s="89"/>
      <c r="J64" s="8"/>
      <c r="K64" s="8"/>
      <c r="L64" s="8"/>
      <c r="M64" s="8"/>
      <c r="N64" s="8"/>
      <c r="O64" s="8"/>
      <c r="P64" s="8"/>
      <c r="Q64" s="8"/>
      <c r="R64" s="8"/>
      <c r="S64" s="8"/>
      <c r="T64" s="8"/>
      <c r="U64" s="8"/>
      <c r="V64" s="8"/>
      <c r="W64" s="8"/>
      <c r="X64" s="8"/>
      <c r="Y64" s="8"/>
      <c r="Z64" s="8"/>
    </row>
    <row r="65" spans="1:26" ht="122.25" customHeight="1" x14ac:dyDescent="0.3">
      <c r="A65" s="82" t="s">
        <v>997</v>
      </c>
      <c r="B65" s="83" t="s">
        <v>314</v>
      </c>
      <c r="C65" s="83" t="s">
        <v>998</v>
      </c>
      <c r="D65" s="83" t="s">
        <v>712</v>
      </c>
      <c r="E65" s="83"/>
      <c r="F65" s="84" t="s">
        <v>323</v>
      </c>
      <c r="G65" s="85"/>
      <c r="H65" s="86"/>
      <c r="I65" s="89"/>
      <c r="J65" s="8"/>
      <c r="K65" s="8"/>
      <c r="L65" s="8"/>
      <c r="M65" s="8"/>
      <c r="N65" s="8"/>
      <c r="O65" s="8"/>
      <c r="P65" s="8"/>
      <c r="Q65" s="8"/>
      <c r="R65" s="8"/>
      <c r="S65" s="8"/>
      <c r="T65" s="8"/>
      <c r="U65" s="8"/>
      <c r="V65" s="8"/>
      <c r="W65" s="8"/>
      <c r="X65" s="8"/>
      <c r="Y65" s="8"/>
      <c r="Z65" s="8"/>
    </row>
    <row r="66" spans="1:26" ht="122.25" customHeight="1" x14ac:dyDescent="0.3">
      <c r="A66" s="82" t="s">
        <v>999</v>
      </c>
      <c r="B66" s="83" t="s">
        <v>315</v>
      </c>
      <c r="C66" s="83" t="s">
        <v>1000</v>
      </c>
      <c r="D66" s="83" t="s">
        <v>715</v>
      </c>
      <c r="E66" s="83"/>
      <c r="F66" s="84" t="s">
        <v>321</v>
      </c>
      <c r="G66" s="85"/>
      <c r="H66" s="86"/>
      <c r="I66" s="89"/>
      <c r="J66" s="8"/>
      <c r="K66" s="8"/>
      <c r="L66" s="8"/>
      <c r="M66" s="8"/>
      <c r="N66" s="8"/>
      <c r="O66" s="8"/>
      <c r="P66" s="8"/>
      <c r="Q66" s="8"/>
      <c r="R66" s="8"/>
      <c r="S66" s="8"/>
      <c r="T66" s="8"/>
      <c r="U66" s="8"/>
      <c r="V66" s="8"/>
      <c r="W66" s="8"/>
      <c r="X66" s="8"/>
      <c r="Y66" s="8"/>
      <c r="Z66" s="8"/>
    </row>
    <row r="67" spans="1:26" ht="135" customHeight="1" x14ac:dyDescent="0.3">
      <c r="A67" s="82" t="s">
        <v>1001</v>
      </c>
      <c r="B67" s="83" t="s">
        <v>316</v>
      </c>
      <c r="C67" s="83" t="s">
        <v>1002</v>
      </c>
      <c r="D67" s="83" t="s">
        <v>1003</v>
      </c>
      <c r="E67" s="83"/>
      <c r="F67" s="84" t="s">
        <v>321</v>
      </c>
      <c r="G67" s="85"/>
      <c r="H67" s="86" t="s">
        <v>227</v>
      </c>
      <c r="I67" s="89"/>
      <c r="J67" s="8"/>
      <c r="K67" s="8"/>
      <c r="L67" s="8"/>
      <c r="M67" s="8"/>
      <c r="N67" s="8"/>
      <c r="O67" s="8"/>
      <c r="P67" s="8"/>
      <c r="Q67" s="8"/>
      <c r="R67" s="8"/>
      <c r="S67" s="8"/>
      <c r="T67" s="8"/>
      <c r="U67" s="8"/>
      <c r="V67" s="8"/>
      <c r="W67" s="8"/>
      <c r="X67" s="8"/>
      <c r="Y67" s="8"/>
      <c r="Z67" s="8"/>
    </row>
    <row r="68" spans="1:26" ht="109.5" customHeight="1" x14ac:dyDescent="0.3">
      <c r="A68" s="82" t="s">
        <v>1004</v>
      </c>
      <c r="B68" s="83" t="s">
        <v>317</v>
      </c>
      <c r="C68" s="83" t="s">
        <v>1005</v>
      </c>
      <c r="D68" s="83" t="s">
        <v>721</v>
      </c>
      <c r="E68" s="83"/>
      <c r="F68" s="84" t="s">
        <v>321</v>
      </c>
      <c r="G68" s="85"/>
      <c r="H68" s="86"/>
      <c r="I68" s="89"/>
      <c r="J68" s="8"/>
      <c r="K68" s="8"/>
      <c r="L68" s="8"/>
      <c r="M68" s="8"/>
      <c r="N68" s="8"/>
      <c r="O68" s="8"/>
      <c r="P68" s="8"/>
      <c r="Q68" s="8"/>
      <c r="R68" s="8"/>
      <c r="S68" s="8"/>
      <c r="T68" s="8"/>
      <c r="U68" s="8"/>
      <c r="V68" s="8"/>
      <c r="W68" s="8"/>
      <c r="X68" s="8"/>
      <c r="Y68" s="8"/>
      <c r="Z68" s="8"/>
    </row>
    <row r="69" spans="1:26" ht="122.25" customHeight="1" x14ac:dyDescent="0.3">
      <c r="A69" s="82" t="s">
        <v>1006</v>
      </c>
      <c r="B69" s="83" t="s">
        <v>318</v>
      </c>
      <c r="C69" s="83" t="s">
        <v>1007</v>
      </c>
      <c r="D69" s="83" t="s">
        <v>1008</v>
      </c>
      <c r="E69" s="83"/>
      <c r="F69" s="84" t="s">
        <v>323</v>
      </c>
      <c r="G69" s="85"/>
      <c r="H69" s="86" t="s">
        <v>259</v>
      </c>
      <c r="I69" s="89"/>
      <c r="J69" s="8"/>
      <c r="K69" s="8"/>
      <c r="L69" s="8"/>
      <c r="M69" s="8"/>
      <c r="N69" s="8"/>
      <c r="O69" s="8"/>
      <c r="P69" s="8"/>
      <c r="Q69" s="8"/>
      <c r="R69" s="8"/>
      <c r="S69" s="8"/>
      <c r="T69" s="8"/>
      <c r="U69" s="8"/>
      <c r="V69" s="8"/>
      <c r="W69" s="8"/>
      <c r="X69" s="8"/>
      <c r="Y69" s="8"/>
      <c r="Z69" s="8"/>
    </row>
    <row r="70" spans="1:26" ht="14.25" customHeight="1" x14ac:dyDescent="0.3">
      <c r="A70" s="8"/>
      <c r="B70" s="8"/>
      <c r="C70" s="8"/>
      <c r="D70" s="8"/>
      <c r="E70" s="8"/>
      <c r="F70" s="8"/>
      <c r="G70" s="8"/>
      <c r="H70" s="8"/>
      <c r="I70" s="89"/>
      <c r="J70" s="8"/>
      <c r="K70" s="8"/>
      <c r="L70" s="8"/>
      <c r="M70" s="8"/>
      <c r="N70" s="8"/>
      <c r="O70" s="8"/>
      <c r="P70" s="8"/>
      <c r="Q70" s="8"/>
      <c r="R70" s="8"/>
      <c r="S70" s="8"/>
      <c r="T70" s="8"/>
      <c r="U70" s="8"/>
      <c r="V70" s="8"/>
      <c r="W70" s="8"/>
      <c r="X70" s="8"/>
      <c r="Y70" s="8"/>
      <c r="Z70" s="8"/>
    </row>
    <row r="71" spans="1:26" ht="14.25" customHeight="1" x14ac:dyDescent="0.3">
      <c r="A71" s="8"/>
      <c r="B71" s="8"/>
      <c r="C71" s="8"/>
      <c r="D71" s="8"/>
      <c r="E71" s="8"/>
      <c r="F71" s="8"/>
      <c r="G71" s="8"/>
      <c r="H71" s="8"/>
      <c r="I71" s="89"/>
      <c r="J71" s="8"/>
      <c r="K71" s="8"/>
      <c r="L71" s="8"/>
      <c r="M71" s="8"/>
      <c r="N71" s="8"/>
      <c r="O71" s="8"/>
      <c r="P71" s="8"/>
      <c r="Q71" s="8"/>
      <c r="R71" s="8"/>
      <c r="S71" s="8"/>
      <c r="T71" s="8"/>
      <c r="U71" s="8"/>
      <c r="V71" s="8"/>
      <c r="W71" s="8"/>
      <c r="X71" s="8"/>
      <c r="Y71" s="8"/>
      <c r="Z71" s="8"/>
    </row>
    <row r="72" spans="1:26" ht="14.25" customHeight="1" x14ac:dyDescent="0.3">
      <c r="A72" s="8"/>
      <c r="B72" s="8"/>
      <c r="C72" s="8"/>
      <c r="D72" s="8"/>
      <c r="E72" s="8"/>
      <c r="F72" s="8"/>
      <c r="G72" s="8"/>
      <c r="H72" s="8"/>
      <c r="I72" s="89"/>
      <c r="J72" s="8"/>
      <c r="K72" s="8"/>
      <c r="L72" s="8"/>
      <c r="M72" s="8"/>
      <c r="N72" s="8"/>
      <c r="O72" s="8"/>
      <c r="P72" s="8"/>
      <c r="Q72" s="8"/>
      <c r="R72" s="8"/>
      <c r="S72" s="8"/>
      <c r="T72" s="8"/>
      <c r="U72" s="8"/>
      <c r="V72" s="8"/>
      <c r="W72" s="8"/>
      <c r="X72" s="8"/>
      <c r="Y72" s="8"/>
      <c r="Z72" s="8"/>
    </row>
    <row r="73" spans="1:26" ht="14.25" customHeight="1" x14ac:dyDescent="0.3">
      <c r="A73" s="8"/>
      <c r="B73" s="8"/>
      <c r="C73" s="8"/>
      <c r="D73" s="8"/>
      <c r="E73" s="8"/>
      <c r="F73" s="8"/>
      <c r="G73" s="8"/>
      <c r="H73" s="8"/>
      <c r="I73" s="89"/>
      <c r="J73" s="8"/>
      <c r="K73" s="8"/>
      <c r="L73" s="8"/>
      <c r="M73" s="8"/>
      <c r="N73" s="8"/>
      <c r="O73" s="8"/>
      <c r="P73" s="8"/>
      <c r="Q73" s="8"/>
      <c r="R73" s="8"/>
      <c r="S73" s="8"/>
      <c r="T73" s="8"/>
      <c r="U73" s="8"/>
      <c r="V73" s="8"/>
      <c r="W73" s="8"/>
      <c r="X73" s="8"/>
      <c r="Y73" s="8"/>
      <c r="Z73" s="8"/>
    </row>
    <row r="74" spans="1:26" ht="14.25" customHeight="1" x14ac:dyDescent="0.3">
      <c r="A74" s="8"/>
      <c r="B74" s="8"/>
      <c r="C74" s="8"/>
      <c r="D74" s="8"/>
      <c r="E74" s="8"/>
      <c r="F74" s="8"/>
      <c r="G74" s="8"/>
      <c r="H74" s="8"/>
      <c r="I74" s="89"/>
      <c r="J74" s="8"/>
      <c r="K74" s="8"/>
      <c r="L74" s="8"/>
      <c r="M74" s="8"/>
      <c r="N74" s="8"/>
      <c r="O74" s="8"/>
      <c r="P74" s="8"/>
      <c r="Q74" s="8"/>
      <c r="R74" s="8"/>
      <c r="S74" s="8"/>
      <c r="T74" s="8"/>
      <c r="U74" s="8"/>
      <c r="V74" s="8"/>
      <c r="W74" s="8"/>
      <c r="X74" s="8"/>
      <c r="Y74" s="8"/>
      <c r="Z74" s="8"/>
    </row>
    <row r="75" spans="1:26" ht="14.25" customHeight="1" x14ac:dyDescent="0.3">
      <c r="A75" s="8"/>
      <c r="B75" s="8"/>
      <c r="C75" s="8"/>
      <c r="D75" s="8"/>
      <c r="E75" s="8"/>
      <c r="F75" s="8"/>
      <c r="G75" s="8"/>
      <c r="H75" s="8"/>
      <c r="I75" s="89"/>
      <c r="J75" s="8"/>
      <c r="K75" s="8"/>
      <c r="L75" s="8"/>
      <c r="M75" s="8"/>
      <c r="N75" s="8"/>
      <c r="O75" s="8"/>
      <c r="P75" s="8"/>
      <c r="Q75" s="8"/>
      <c r="R75" s="8"/>
      <c r="S75" s="8"/>
      <c r="T75" s="8"/>
      <c r="U75" s="8"/>
      <c r="V75" s="8"/>
      <c r="W75" s="8"/>
      <c r="X75" s="8"/>
      <c r="Y75" s="8"/>
      <c r="Z75" s="8"/>
    </row>
    <row r="76" spans="1:26" ht="14.25" customHeight="1" x14ac:dyDescent="0.3">
      <c r="A76" s="8"/>
      <c r="B76" s="8"/>
      <c r="C76" s="8"/>
      <c r="D76" s="8"/>
      <c r="E76" s="8"/>
      <c r="F76" s="8"/>
      <c r="G76" s="8"/>
      <c r="H76" s="8"/>
      <c r="I76" s="89"/>
      <c r="J76" s="8"/>
      <c r="K76" s="8"/>
      <c r="L76" s="8"/>
      <c r="M76" s="8"/>
      <c r="N76" s="8"/>
      <c r="O76" s="8"/>
      <c r="P76" s="8"/>
      <c r="Q76" s="8"/>
      <c r="R76" s="8"/>
      <c r="S76" s="8"/>
      <c r="T76" s="8"/>
      <c r="U76" s="8"/>
      <c r="V76" s="8"/>
      <c r="W76" s="8"/>
      <c r="X76" s="8"/>
      <c r="Y76" s="8"/>
      <c r="Z76" s="8"/>
    </row>
    <row r="77" spans="1:26" ht="14.25" customHeight="1" x14ac:dyDescent="0.3">
      <c r="A77" s="8"/>
      <c r="B77" s="8"/>
      <c r="C77" s="8"/>
      <c r="D77" s="8"/>
      <c r="E77" s="8"/>
      <c r="F77" s="8"/>
      <c r="G77" s="8"/>
      <c r="H77" s="8"/>
      <c r="I77" s="89"/>
      <c r="J77" s="8"/>
      <c r="K77" s="8"/>
      <c r="L77" s="8"/>
      <c r="M77" s="8"/>
      <c r="N77" s="8"/>
      <c r="O77" s="8"/>
      <c r="P77" s="8"/>
      <c r="Q77" s="8"/>
      <c r="R77" s="8"/>
      <c r="S77" s="8"/>
      <c r="T77" s="8"/>
      <c r="U77" s="8"/>
      <c r="V77" s="8"/>
      <c r="W77" s="8"/>
      <c r="X77" s="8"/>
      <c r="Y77" s="8"/>
      <c r="Z77" s="8"/>
    </row>
    <row r="78" spans="1:26" ht="14.25" customHeight="1" x14ac:dyDescent="0.3">
      <c r="A78" s="8"/>
      <c r="B78" s="8"/>
      <c r="C78" s="8"/>
      <c r="D78" s="8"/>
      <c r="E78" s="8"/>
      <c r="F78" s="8"/>
      <c r="G78" s="8"/>
      <c r="H78" s="8"/>
      <c r="I78" s="89"/>
      <c r="J78" s="8"/>
      <c r="K78" s="8"/>
      <c r="L78" s="8"/>
      <c r="M78" s="8"/>
      <c r="N78" s="8"/>
      <c r="O78" s="8"/>
      <c r="P78" s="8"/>
      <c r="Q78" s="8"/>
      <c r="R78" s="8"/>
      <c r="S78" s="8"/>
      <c r="T78" s="8"/>
      <c r="U78" s="8"/>
      <c r="V78" s="8"/>
      <c r="W78" s="8"/>
      <c r="X78" s="8"/>
      <c r="Y78" s="8"/>
      <c r="Z78" s="8"/>
    </row>
    <row r="79" spans="1:26" ht="14.25" customHeight="1" x14ac:dyDescent="0.3">
      <c r="A79" s="8"/>
      <c r="B79" s="8"/>
      <c r="C79" s="8"/>
      <c r="D79" s="8"/>
      <c r="E79" s="8"/>
      <c r="F79" s="8"/>
      <c r="G79" s="8"/>
      <c r="H79" s="8"/>
      <c r="I79" s="89"/>
      <c r="J79" s="8"/>
      <c r="K79" s="8"/>
      <c r="L79" s="8"/>
      <c r="M79" s="8"/>
      <c r="N79" s="8"/>
      <c r="O79" s="8"/>
      <c r="P79" s="8"/>
      <c r="Q79" s="8"/>
      <c r="R79" s="8"/>
      <c r="S79" s="8"/>
      <c r="T79" s="8"/>
      <c r="U79" s="8"/>
      <c r="V79" s="8"/>
      <c r="W79" s="8"/>
      <c r="X79" s="8"/>
      <c r="Y79" s="8"/>
      <c r="Z79" s="8"/>
    </row>
    <row r="80" spans="1:26" ht="14.25" customHeight="1" x14ac:dyDescent="0.3">
      <c r="A80" s="8"/>
      <c r="B80" s="8"/>
      <c r="C80" s="8"/>
      <c r="D80" s="8"/>
      <c r="E80" s="8"/>
      <c r="F80" s="8"/>
      <c r="G80" s="8"/>
      <c r="H80" s="8"/>
      <c r="I80" s="89"/>
      <c r="J80" s="8"/>
      <c r="K80" s="8"/>
      <c r="L80" s="8"/>
      <c r="M80" s="8"/>
      <c r="N80" s="8"/>
      <c r="O80" s="8"/>
      <c r="P80" s="8"/>
      <c r="Q80" s="8"/>
      <c r="R80" s="8"/>
      <c r="S80" s="8"/>
      <c r="T80" s="8"/>
      <c r="U80" s="8"/>
      <c r="V80" s="8"/>
      <c r="W80" s="8"/>
      <c r="X80" s="8"/>
      <c r="Y80" s="8"/>
      <c r="Z80" s="8"/>
    </row>
    <row r="81" spans="1:26" ht="14.25" customHeight="1" x14ac:dyDescent="0.3">
      <c r="A81" s="8"/>
      <c r="B81" s="8"/>
      <c r="C81" s="8"/>
      <c r="D81" s="8"/>
      <c r="E81" s="8"/>
      <c r="F81" s="8"/>
      <c r="G81" s="8"/>
      <c r="H81" s="8"/>
      <c r="I81" s="89"/>
      <c r="J81" s="8"/>
      <c r="K81" s="8"/>
      <c r="L81" s="8"/>
      <c r="M81" s="8"/>
      <c r="N81" s="8"/>
      <c r="O81" s="8"/>
      <c r="P81" s="8"/>
      <c r="Q81" s="8"/>
      <c r="R81" s="8"/>
      <c r="S81" s="8"/>
      <c r="T81" s="8"/>
      <c r="U81" s="8"/>
      <c r="V81" s="8"/>
      <c r="W81" s="8"/>
      <c r="X81" s="8"/>
      <c r="Y81" s="8"/>
      <c r="Z81" s="8"/>
    </row>
    <row r="82" spans="1:26" ht="14.25" customHeight="1" x14ac:dyDescent="0.3">
      <c r="A82" s="8"/>
      <c r="B82" s="8"/>
      <c r="C82" s="8"/>
      <c r="D82" s="8"/>
      <c r="E82" s="8"/>
      <c r="F82" s="8"/>
      <c r="G82" s="8"/>
      <c r="H82" s="8"/>
      <c r="I82" s="89"/>
      <c r="J82" s="8"/>
      <c r="K82" s="8"/>
      <c r="L82" s="8"/>
      <c r="M82" s="8"/>
      <c r="N82" s="8"/>
      <c r="O82" s="8"/>
      <c r="P82" s="8"/>
      <c r="Q82" s="8"/>
      <c r="R82" s="8"/>
      <c r="S82" s="8"/>
      <c r="T82" s="8"/>
      <c r="U82" s="8"/>
      <c r="V82" s="8"/>
      <c r="W82" s="8"/>
      <c r="X82" s="8"/>
      <c r="Y82" s="8"/>
      <c r="Z82" s="8"/>
    </row>
    <row r="83" spans="1:26" ht="14.25" customHeight="1" x14ac:dyDescent="0.3">
      <c r="A83" s="8"/>
      <c r="B83" s="8"/>
      <c r="C83" s="8"/>
      <c r="D83" s="8"/>
      <c r="E83" s="8"/>
      <c r="F83" s="8"/>
      <c r="G83" s="8"/>
      <c r="H83" s="8"/>
      <c r="I83" s="89"/>
      <c r="J83" s="8"/>
      <c r="K83" s="8"/>
      <c r="L83" s="8"/>
      <c r="M83" s="8"/>
      <c r="N83" s="8"/>
      <c r="O83" s="8"/>
      <c r="P83" s="8"/>
      <c r="Q83" s="8"/>
      <c r="R83" s="8"/>
      <c r="S83" s="8"/>
      <c r="T83" s="8"/>
      <c r="U83" s="8"/>
      <c r="V83" s="8"/>
      <c r="W83" s="8"/>
      <c r="X83" s="8"/>
      <c r="Y83" s="8"/>
      <c r="Z83" s="8"/>
    </row>
    <row r="84" spans="1:26" ht="14.25" customHeight="1" x14ac:dyDescent="0.3">
      <c r="A84" s="8"/>
      <c r="B84" s="8"/>
      <c r="C84" s="8"/>
      <c r="D84" s="8"/>
      <c r="E84" s="8"/>
      <c r="F84" s="8"/>
      <c r="G84" s="8"/>
      <c r="H84" s="8"/>
      <c r="I84" s="89"/>
      <c r="J84" s="8"/>
      <c r="K84" s="8"/>
      <c r="L84" s="8"/>
      <c r="M84" s="8"/>
      <c r="N84" s="8"/>
      <c r="O84" s="8"/>
      <c r="P84" s="8"/>
      <c r="Q84" s="8"/>
      <c r="R84" s="8"/>
      <c r="S84" s="8"/>
      <c r="T84" s="8"/>
      <c r="U84" s="8"/>
      <c r="V84" s="8"/>
      <c r="W84" s="8"/>
      <c r="X84" s="8"/>
      <c r="Y84" s="8"/>
      <c r="Z84" s="8"/>
    </row>
    <row r="85" spans="1:26" ht="14.25" customHeight="1" x14ac:dyDescent="0.3">
      <c r="A85" s="8"/>
      <c r="B85" s="8"/>
      <c r="C85" s="8"/>
      <c r="D85" s="8"/>
      <c r="E85" s="8"/>
      <c r="F85" s="8"/>
      <c r="G85" s="8"/>
      <c r="H85" s="8"/>
      <c r="I85" s="89"/>
      <c r="J85" s="8"/>
      <c r="K85" s="8"/>
      <c r="L85" s="8"/>
      <c r="M85" s="8"/>
      <c r="N85" s="8"/>
      <c r="O85" s="8"/>
      <c r="P85" s="8"/>
      <c r="Q85" s="8"/>
      <c r="R85" s="8"/>
      <c r="S85" s="8"/>
      <c r="T85" s="8"/>
      <c r="U85" s="8"/>
      <c r="V85" s="8"/>
      <c r="W85" s="8"/>
      <c r="X85" s="8"/>
      <c r="Y85" s="8"/>
      <c r="Z85" s="8"/>
    </row>
    <row r="86" spans="1:26" ht="14.25" customHeight="1" x14ac:dyDescent="0.3">
      <c r="A86" s="8"/>
      <c r="B86" s="8"/>
      <c r="C86" s="8"/>
      <c r="D86" s="8"/>
      <c r="E86" s="8"/>
      <c r="F86" s="8"/>
      <c r="G86" s="8"/>
      <c r="H86" s="8"/>
      <c r="I86" s="89"/>
      <c r="J86" s="8"/>
      <c r="K86" s="8"/>
      <c r="L86" s="8"/>
      <c r="M86" s="8"/>
      <c r="N86" s="8"/>
      <c r="O86" s="8"/>
      <c r="P86" s="8"/>
      <c r="Q86" s="8"/>
      <c r="R86" s="8"/>
      <c r="S86" s="8"/>
      <c r="T86" s="8"/>
      <c r="U86" s="8"/>
      <c r="V86" s="8"/>
      <c r="W86" s="8"/>
      <c r="X86" s="8"/>
      <c r="Y86" s="8"/>
      <c r="Z86" s="8"/>
    </row>
    <row r="87" spans="1:26" ht="14.25" customHeight="1" x14ac:dyDescent="0.3">
      <c r="A87" s="8"/>
      <c r="B87" s="8"/>
      <c r="C87" s="8"/>
      <c r="D87" s="8"/>
      <c r="E87" s="8"/>
      <c r="F87" s="8"/>
      <c r="G87" s="8"/>
      <c r="H87" s="8"/>
      <c r="I87" s="89"/>
      <c r="J87" s="8"/>
      <c r="K87" s="8"/>
      <c r="L87" s="8"/>
      <c r="M87" s="8"/>
      <c r="N87" s="8"/>
      <c r="O87" s="8"/>
      <c r="P87" s="8"/>
      <c r="Q87" s="8"/>
      <c r="R87" s="8"/>
      <c r="S87" s="8"/>
      <c r="T87" s="8"/>
      <c r="U87" s="8"/>
      <c r="V87" s="8"/>
      <c r="W87" s="8"/>
      <c r="X87" s="8"/>
      <c r="Y87" s="8"/>
      <c r="Z87" s="8"/>
    </row>
    <row r="88" spans="1:26" ht="14.25" customHeight="1" x14ac:dyDescent="0.3">
      <c r="A88" s="8"/>
      <c r="B88" s="8"/>
      <c r="C88" s="8"/>
      <c r="D88" s="8"/>
      <c r="E88" s="8"/>
      <c r="F88" s="8"/>
      <c r="G88" s="8"/>
      <c r="H88" s="8"/>
      <c r="I88" s="89"/>
      <c r="J88" s="8"/>
      <c r="K88" s="8"/>
      <c r="L88" s="8"/>
      <c r="M88" s="8"/>
      <c r="N88" s="8"/>
      <c r="O88" s="8"/>
      <c r="P88" s="8"/>
      <c r="Q88" s="8"/>
      <c r="R88" s="8"/>
      <c r="S88" s="8"/>
      <c r="T88" s="8"/>
      <c r="U88" s="8"/>
      <c r="V88" s="8"/>
      <c r="W88" s="8"/>
      <c r="X88" s="8"/>
      <c r="Y88" s="8"/>
      <c r="Z88" s="8"/>
    </row>
    <row r="89" spans="1:26" ht="14.25" customHeight="1" x14ac:dyDescent="0.3">
      <c r="A89" s="8"/>
      <c r="B89" s="8"/>
      <c r="C89" s="8"/>
      <c r="D89" s="8"/>
      <c r="E89" s="8"/>
      <c r="F89" s="8"/>
      <c r="G89" s="8"/>
      <c r="H89" s="8"/>
      <c r="I89" s="89"/>
      <c r="J89" s="8"/>
      <c r="K89" s="8"/>
      <c r="L89" s="8"/>
      <c r="M89" s="8"/>
      <c r="N89" s="8"/>
      <c r="O89" s="8"/>
      <c r="P89" s="8"/>
      <c r="Q89" s="8"/>
      <c r="R89" s="8"/>
      <c r="S89" s="8"/>
      <c r="T89" s="8"/>
      <c r="U89" s="8"/>
      <c r="V89" s="8"/>
      <c r="W89" s="8"/>
      <c r="X89" s="8"/>
      <c r="Y89" s="8"/>
      <c r="Z89" s="8"/>
    </row>
    <row r="90" spans="1:26" ht="14.25" customHeight="1" x14ac:dyDescent="0.3">
      <c r="A90" s="8"/>
      <c r="B90" s="8"/>
      <c r="C90" s="8"/>
      <c r="D90" s="8"/>
      <c r="E90" s="8"/>
      <c r="F90" s="8"/>
      <c r="G90" s="8"/>
      <c r="H90" s="8"/>
      <c r="I90" s="89"/>
      <c r="J90" s="8"/>
      <c r="K90" s="8"/>
      <c r="L90" s="8"/>
      <c r="M90" s="8"/>
      <c r="N90" s="8"/>
      <c r="O90" s="8"/>
      <c r="P90" s="8"/>
      <c r="Q90" s="8"/>
      <c r="R90" s="8"/>
      <c r="S90" s="8"/>
      <c r="T90" s="8"/>
      <c r="U90" s="8"/>
      <c r="V90" s="8"/>
      <c r="W90" s="8"/>
      <c r="X90" s="8"/>
      <c r="Y90" s="8"/>
      <c r="Z90" s="8"/>
    </row>
    <row r="91" spans="1:26" ht="14.25" customHeight="1" x14ac:dyDescent="0.3">
      <c r="A91" s="8"/>
      <c r="B91" s="8"/>
      <c r="C91" s="8"/>
      <c r="D91" s="8"/>
      <c r="E91" s="8"/>
      <c r="F91" s="8"/>
      <c r="G91" s="8"/>
      <c r="H91" s="8"/>
      <c r="I91" s="89"/>
      <c r="J91" s="8"/>
      <c r="K91" s="8"/>
      <c r="L91" s="8"/>
      <c r="M91" s="8"/>
      <c r="N91" s="8"/>
      <c r="O91" s="8"/>
      <c r="P91" s="8"/>
      <c r="Q91" s="8"/>
      <c r="R91" s="8"/>
      <c r="S91" s="8"/>
      <c r="T91" s="8"/>
      <c r="U91" s="8"/>
      <c r="V91" s="8"/>
      <c r="W91" s="8"/>
      <c r="X91" s="8"/>
      <c r="Y91" s="8"/>
      <c r="Z91" s="8"/>
    </row>
    <row r="92" spans="1:26" ht="14.25" customHeight="1" x14ac:dyDescent="0.3">
      <c r="A92" s="8"/>
      <c r="B92" s="8"/>
      <c r="C92" s="8"/>
      <c r="D92" s="8"/>
      <c r="E92" s="8"/>
      <c r="F92" s="8"/>
      <c r="G92" s="8"/>
      <c r="H92" s="8"/>
      <c r="I92" s="89"/>
      <c r="J92" s="8"/>
      <c r="K92" s="8"/>
      <c r="L92" s="8"/>
      <c r="M92" s="8"/>
      <c r="N92" s="8"/>
      <c r="O92" s="8"/>
      <c r="P92" s="8"/>
      <c r="Q92" s="8"/>
      <c r="R92" s="8"/>
      <c r="S92" s="8"/>
      <c r="T92" s="8"/>
      <c r="U92" s="8"/>
      <c r="V92" s="8"/>
      <c r="W92" s="8"/>
      <c r="X92" s="8"/>
      <c r="Y92" s="8"/>
      <c r="Z92" s="8"/>
    </row>
    <row r="93" spans="1:26" ht="14.25" customHeight="1" x14ac:dyDescent="0.3">
      <c r="A93" s="8"/>
      <c r="B93" s="8"/>
      <c r="C93" s="8"/>
      <c r="D93" s="8"/>
      <c r="E93" s="8"/>
      <c r="F93" s="8"/>
      <c r="G93" s="8"/>
      <c r="H93" s="8"/>
      <c r="I93" s="89"/>
      <c r="J93" s="8"/>
      <c r="K93" s="8"/>
      <c r="L93" s="8"/>
      <c r="M93" s="8"/>
      <c r="N93" s="8"/>
      <c r="O93" s="8"/>
      <c r="P93" s="8"/>
      <c r="Q93" s="8"/>
      <c r="R93" s="8"/>
      <c r="S93" s="8"/>
      <c r="T93" s="8"/>
      <c r="U93" s="8"/>
      <c r="V93" s="8"/>
      <c r="W93" s="8"/>
      <c r="X93" s="8"/>
      <c r="Y93" s="8"/>
      <c r="Z93" s="8"/>
    </row>
    <row r="94" spans="1:26" ht="14.25" customHeight="1" x14ac:dyDescent="0.3">
      <c r="A94" s="8"/>
      <c r="B94" s="8"/>
      <c r="C94" s="8"/>
      <c r="D94" s="8"/>
      <c r="E94" s="8"/>
      <c r="F94" s="8"/>
      <c r="G94" s="8"/>
      <c r="H94" s="8"/>
      <c r="I94" s="89"/>
      <c r="J94" s="8"/>
      <c r="K94" s="8"/>
      <c r="L94" s="8"/>
      <c r="M94" s="8"/>
      <c r="N94" s="8"/>
      <c r="O94" s="8"/>
      <c r="P94" s="8"/>
      <c r="Q94" s="8"/>
      <c r="R94" s="8"/>
      <c r="S94" s="8"/>
      <c r="T94" s="8"/>
      <c r="U94" s="8"/>
      <c r="V94" s="8"/>
      <c r="W94" s="8"/>
      <c r="X94" s="8"/>
      <c r="Y94" s="8"/>
      <c r="Z94" s="8"/>
    </row>
    <row r="95" spans="1:26" ht="14.25" customHeight="1" x14ac:dyDescent="0.3">
      <c r="A95" s="8"/>
      <c r="B95" s="8"/>
      <c r="C95" s="8"/>
      <c r="D95" s="8"/>
      <c r="E95" s="8"/>
      <c r="F95" s="8"/>
      <c r="G95" s="8"/>
      <c r="H95" s="8"/>
      <c r="I95" s="89"/>
      <c r="J95" s="8"/>
      <c r="K95" s="8"/>
      <c r="L95" s="8"/>
      <c r="M95" s="8"/>
      <c r="N95" s="8"/>
      <c r="O95" s="8"/>
      <c r="P95" s="8"/>
      <c r="Q95" s="8"/>
      <c r="R95" s="8"/>
      <c r="S95" s="8"/>
      <c r="T95" s="8"/>
      <c r="U95" s="8"/>
      <c r="V95" s="8"/>
      <c r="W95" s="8"/>
      <c r="X95" s="8"/>
      <c r="Y95" s="8"/>
      <c r="Z95" s="8"/>
    </row>
    <row r="96" spans="1:26" ht="14.25" customHeight="1" x14ac:dyDescent="0.3">
      <c r="A96" s="8"/>
      <c r="B96" s="8"/>
      <c r="C96" s="8"/>
      <c r="D96" s="8"/>
      <c r="E96" s="8"/>
      <c r="F96" s="8"/>
      <c r="G96" s="8"/>
      <c r="H96" s="8"/>
      <c r="I96" s="89"/>
      <c r="J96" s="8"/>
      <c r="K96" s="8"/>
      <c r="L96" s="8"/>
      <c r="M96" s="8"/>
      <c r="N96" s="8"/>
      <c r="O96" s="8"/>
      <c r="P96" s="8"/>
      <c r="Q96" s="8"/>
      <c r="R96" s="8"/>
      <c r="S96" s="8"/>
      <c r="T96" s="8"/>
      <c r="U96" s="8"/>
      <c r="V96" s="8"/>
      <c r="W96" s="8"/>
      <c r="X96" s="8"/>
      <c r="Y96" s="8"/>
      <c r="Z96" s="8"/>
    </row>
    <row r="97" spans="1:26" ht="14.25" customHeight="1" x14ac:dyDescent="0.3">
      <c r="A97" s="8"/>
      <c r="B97" s="8"/>
      <c r="C97" s="8"/>
      <c r="D97" s="8"/>
      <c r="E97" s="8"/>
      <c r="F97" s="8"/>
      <c r="G97" s="8"/>
      <c r="H97" s="8"/>
      <c r="I97" s="89"/>
      <c r="J97" s="8"/>
      <c r="K97" s="8"/>
      <c r="L97" s="8"/>
      <c r="M97" s="8"/>
      <c r="N97" s="8"/>
      <c r="O97" s="8"/>
      <c r="P97" s="8"/>
      <c r="Q97" s="8"/>
      <c r="R97" s="8"/>
      <c r="S97" s="8"/>
      <c r="T97" s="8"/>
      <c r="U97" s="8"/>
      <c r="V97" s="8"/>
      <c r="W97" s="8"/>
      <c r="X97" s="8"/>
      <c r="Y97" s="8"/>
      <c r="Z97" s="8"/>
    </row>
    <row r="98" spans="1:26" ht="14.25" customHeight="1" x14ac:dyDescent="0.3">
      <c r="A98" s="8"/>
      <c r="B98" s="8"/>
      <c r="C98" s="8"/>
      <c r="D98" s="8"/>
      <c r="E98" s="8"/>
      <c r="F98" s="8"/>
      <c r="G98" s="8"/>
      <c r="H98" s="8"/>
      <c r="I98" s="89"/>
      <c r="J98" s="8"/>
      <c r="K98" s="8"/>
      <c r="L98" s="8"/>
      <c r="M98" s="8"/>
      <c r="N98" s="8"/>
      <c r="O98" s="8"/>
      <c r="P98" s="8"/>
      <c r="Q98" s="8"/>
      <c r="R98" s="8"/>
      <c r="S98" s="8"/>
      <c r="T98" s="8"/>
      <c r="U98" s="8"/>
      <c r="V98" s="8"/>
      <c r="W98" s="8"/>
      <c r="X98" s="8"/>
      <c r="Y98" s="8"/>
      <c r="Z98" s="8"/>
    </row>
    <row r="99" spans="1:26" ht="14.25" customHeight="1" x14ac:dyDescent="0.3">
      <c r="A99" s="8"/>
      <c r="B99" s="8"/>
      <c r="C99" s="8"/>
      <c r="D99" s="8"/>
      <c r="E99" s="8"/>
      <c r="F99" s="8"/>
      <c r="G99" s="8"/>
      <c r="H99" s="8"/>
      <c r="I99" s="89"/>
      <c r="J99" s="8"/>
      <c r="K99" s="8"/>
      <c r="L99" s="8"/>
      <c r="M99" s="8"/>
      <c r="N99" s="8"/>
      <c r="O99" s="8"/>
      <c r="P99" s="8"/>
      <c r="Q99" s="8"/>
      <c r="R99" s="8"/>
      <c r="S99" s="8"/>
      <c r="T99" s="8"/>
      <c r="U99" s="8"/>
      <c r="V99" s="8"/>
      <c r="W99" s="8"/>
      <c r="X99" s="8"/>
      <c r="Y99" s="8"/>
      <c r="Z99" s="8"/>
    </row>
    <row r="100" spans="1:26" ht="14.25" customHeight="1" x14ac:dyDescent="0.3">
      <c r="A100" s="8"/>
      <c r="B100" s="8"/>
      <c r="C100" s="8"/>
      <c r="D100" s="8"/>
      <c r="E100" s="8"/>
      <c r="F100" s="8"/>
      <c r="G100" s="8"/>
      <c r="H100" s="8"/>
      <c r="I100" s="89"/>
      <c r="J100" s="8"/>
      <c r="K100" s="8"/>
      <c r="L100" s="8"/>
      <c r="M100" s="8"/>
      <c r="N100" s="8"/>
      <c r="O100" s="8"/>
      <c r="P100" s="8"/>
      <c r="Q100" s="8"/>
      <c r="R100" s="8"/>
      <c r="S100" s="8"/>
      <c r="T100" s="8"/>
      <c r="U100" s="8"/>
      <c r="V100" s="8"/>
      <c r="W100" s="8"/>
      <c r="X100" s="8"/>
      <c r="Y100" s="8"/>
      <c r="Z100" s="8"/>
    </row>
    <row r="101" spans="1:26" ht="14.25" customHeight="1" x14ac:dyDescent="0.3">
      <c r="A101" s="8"/>
      <c r="B101" s="8"/>
      <c r="C101" s="8"/>
      <c r="D101" s="8"/>
      <c r="E101" s="8"/>
      <c r="F101" s="8"/>
      <c r="G101" s="8"/>
      <c r="H101" s="8"/>
      <c r="I101" s="89"/>
      <c r="J101" s="8"/>
      <c r="K101" s="8"/>
      <c r="L101" s="8"/>
      <c r="M101" s="8"/>
      <c r="N101" s="8"/>
      <c r="O101" s="8"/>
      <c r="P101" s="8"/>
      <c r="Q101" s="8"/>
      <c r="R101" s="8"/>
      <c r="S101" s="8"/>
      <c r="T101" s="8"/>
      <c r="U101" s="8"/>
      <c r="V101" s="8"/>
      <c r="W101" s="8"/>
      <c r="X101" s="8"/>
      <c r="Y101" s="8"/>
      <c r="Z101" s="8"/>
    </row>
    <row r="102" spans="1:26" ht="14.25" customHeight="1" x14ac:dyDescent="0.3">
      <c r="A102" s="8"/>
      <c r="B102" s="8"/>
      <c r="C102" s="8"/>
      <c r="D102" s="8"/>
      <c r="E102" s="8"/>
      <c r="F102" s="8"/>
      <c r="G102" s="8"/>
      <c r="H102" s="8"/>
      <c r="I102" s="89"/>
      <c r="J102" s="8"/>
      <c r="K102" s="8"/>
      <c r="L102" s="8"/>
      <c r="M102" s="8"/>
      <c r="N102" s="8"/>
      <c r="O102" s="8"/>
      <c r="P102" s="8"/>
      <c r="Q102" s="8"/>
      <c r="R102" s="8"/>
      <c r="S102" s="8"/>
      <c r="T102" s="8"/>
      <c r="U102" s="8"/>
      <c r="V102" s="8"/>
      <c r="W102" s="8"/>
      <c r="X102" s="8"/>
      <c r="Y102" s="8"/>
      <c r="Z102" s="8"/>
    </row>
    <row r="103" spans="1:26" ht="14.25" customHeight="1" x14ac:dyDescent="0.3">
      <c r="A103" s="8"/>
      <c r="B103" s="8"/>
      <c r="C103" s="8"/>
      <c r="D103" s="8"/>
      <c r="E103" s="8"/>
      <c r="F103" s="8"/>
      <c r="G103" s="8"/>
      <c r="H103" s="8"/>
      <c r="I103" s="89"/>
      <c r="J103" s="8"/>
      <c r="K103" s="8"/>
      <c r="L103" s="8"/>
      <c r="M103" s="8"/>
      <c r="N103" s="8"/>
      <c r="O103" s="8"/>
      <c r="P103" s="8"/>
      <c r="Q103" s="8"/>
      <c r="R103" s="8"/>
      <c r="S103" s="8"/>
      <c r="T103" s="8"/>
      <c r="U103" s="8"/>
      <c r="V103" s="8"/>
      <c r="W103" s="8"/>
      <c r="X103" s="8"/>
      <c r="Y103" s="8"/>
      <c r="Z103" s="8"/>
    </row>
    <row r="104" spans="1:26" ht="14.25" customHeight="1" x14ac:dyDescent="0.3">
      <c r="A104" s="8"/>
      <c r="B104" s="8"/>
      <c r="C104" s="8"/>
      <c r="D104" s="8"/>
      <c r="E104" s="8"/>
      <c r="F104" s="8"/>
      <c r="G104" s="8"/>
      <c r="H104" s="8"/>
      <c r="I104" s="89"/>
      <c r="J104" s="8"/>
      <c r="K104" s="8"/>
      <c r="L104" s="8"/>
      <c r="M104" s="8"/>
      <c r="N104" s="8"/>
      <c r="O104" s="8"/>
      <c r="P104" s="8"/>
      <c r="Q104" s="8"/>
      <c r="R104" s="8"/>
      <c r="S104" s="8"/>
      <c r="T104" s="8"/>
      <c r="U104" s="8"/>
      <c r="V104" s="8"/>
      <c r="W104" s="8"/>
      <c r="X104" s="8"/>
      <c r="Y104" s="8"/>
      <c r="Z104" s="8"/>
    </row>
    <row r="105" spans="1:26" ht="14.25" customHeight="1" x14ac:dyDescent="0.3">
      <c r="A105" s="8"/>
      <c r="B105" s="8"/>
      <c r="C105" s="8"/>
      <c r="D105" s="8"/>
      <c r="E105" s="8"/>
      <c r="F105" s="8"/>
      <c r="G105" s="8"/>
      <c r="H105" s="8"/>
      <c r="I105" s="89"/>
      <c r="J105" s="8"/>
      <c r="K105" s="8"/>
      <c r="L105" s="8"/>
      <c r="M105" s="8"/>
      <c r="N105" s="8"/>
      <c r="O105" s="8"/>
      <c r="P105" s="8"/>
      <c r="Q105" s="8"/>
      <c r="R105" s="8"/>
      <c r="S105" s="8"/>
      <c r="T105" s="8"/>
      <c r="U105" s="8"/>
      <c r="V105" s="8"/>
      <c r="W105" s="8"/>
      <c r="X105" s="8"/>
      <c r="Y105" s="8"/>
      <c r="Z105" s="8"/>
    </row>
    <row r="106" spans="1:26" ht="14.25" customHeight="1" x14ac:dyDescent="0.3">
      <c r="A106" s="8"/>
      <c r="B106" s="8"/>
      <c r="C106" s="8"/>
      <c r="D106" s="8"/>
      <c r="E106" s="8"/>
      <c r="F106" s="8"/>
      <c r="G106" s="8"/>
      <c r="H106" s="8"/>
      <c r="I106" s="89"/>
      <c r="J106" s="8"/>
      <c r="K106" s="8"/>
      <c r="L106" s="8"/>
      <c r="M106" s="8"/>
      <c r="N106" s="8"/>
      <c r="O106" s="8"/>
      <c r="P106" s="8"/>
      <c r="Q106" s="8"/>
      <c r="R106" s="8"/>
      <c r="S106" s="8"/>
      <c r="T106" s="8"/>
      <c r="U106" s="8"/>
      <c r="V106" s="8"/>
      <c r="W106" s="8"/>
      <c r="X106" s="8"/>
      <c r="Y106" s="8"/>
      <c r="Z106" s="8"/>
    </row>
    <row r="107" spans="1:26" ht="14.25" customHeight="1" x14ac:dyDescent="0.3">
      <c r="A107" s="8"/>
      <c r="B107" s="8"/>
      <c r="C107" s="8"/>
      <c r="D107" s="8"/>
      <c r="E107" s="8"/>
      <c r="F107" s="8"/>
      <c r="G107" s="8"/>
      <c r="H107" s="8"/>
      <c r="I107" s="89"/>
      <c r="J107" s="8"/>
      <c r="K107" s="8"/>
      <c r="L107" s="8"/>
      <c r="M107" s="8"/>
      <c r="N107" s="8"/>
      <c r="O107" s="8"/>
      <c r="P107" s="8"/>
      <c r="Q107" s="8"/>
      <c r="R107" s="8"/>
      <c r="S107" s="8"/>
      <c r="T107" s="8"/>
      <c r="U107" s="8"/>
      <c r="V107" s="8"/>
      <c r="W107" s="8"/>
      <c r="X107" s="8"/>
      <c r="Y107" s="8"/>
      <c r="Z107" s="8"/>
    </row>
    <row r="108" spans="1:26" ht="14.25" customHeight="1" x14ac:dyDescent="0.3">
      <c r="A108" s="8"/>
      <c r="B108" s="8"/>
      <c r="C108" s="8"/>
      <c r="D108" s="8"/>
      <c r="E108" s="8"/>
      <c r="F108" s="8"/>
      <c r="G108" s="8"/>
      <c r="H108" s="8"/>
      <c r="I108" s="89"/>
      <c r="J108" s="8"/>
      <c r="K108" s="8"/>
      <c r="L108" s="8"/>
      <c r="M108" s="8"/>
      <c r="N108" s="8"/>
      <c r="O108" s="8"/>
      <c r="P108" s="8"/>
      <c r="Q108" s="8"/>
      <c r="R108" s="8"/>
      <c r="S108" s="8"/>
      <c r="T108" s="8"/>
      <c r="U108" s="8"/>
      <c r="V108" s="8"/>
      <c r="W108" s="8"/>
      <c r="X108" s="8"/>
      <c r="Y108" s="8"/>
      <c r="Z108" s="8"/>
    </row>
    <row r="109" spans="1:26" ht="14.25" customHeight="1" x14ac:dyDescent="0.3">
      <c r="A109" s="8"/>
      <c r="B109" s="8"/>
      <c r="C109" s="8"/>
      <c r="D109" s="8"/>
      <c r="E109" s="8"/>
      <c r="F109" s="8"/>
      <c r="G109" s="8"/>
      <c r="H109" s="8"/>
      <c r="I109" s="89"/>
      <c r="J109" s="8"/>
      <c r="K109" s="8"/>
      <c r="L109" s="8"/>
      <c r="M109" s="8"/>
      <c r="N109" s="8"/>
      <c r="O109" s="8"/>
      <c r="P109" s="8"/>
      <c r="Q109" s="8"/>
      <c r="R109" s="8"/>
      <c r="S109" s="8"/>
      <c r="T109" s="8"/>
      <c r="U109" s="8"/>
      <c r="V109" s="8"/>
      <c r="W109" s="8"/>
      <c r="X109" s="8"/>
      <c r="Y109" s="8"/>
      <c r="Z109" s="8"/>
    </row>
    <row r="110" spans="1:26" ht="14.25" customHeight="1" x14ac:dyDescent="0.3">
      <c r="A110" s="8"/>
      <c r="B110" s="8"/>
      <c r="C110" s="8"/>
      <c r="D110" s="8"/>
      <c r="E110" s="8"/>
      <c r="F110" s="8"/>
      <c r="G110" s="8"/>
      <c r="H110" s="8"/>
      <c r="I110" s="89"/>
      <c r="J110" s="8"/>
      <c r="K110" s="8"/>
      <c r="L110" s="8"/>
      <c r="M110" s="8"/>
      <c r="N110" s="8"/>
      <c r="O110" s="8"/>
      <c r="P110" s="8"/>
      <c r="Q110" s="8"/>
      <c r="R110" s="8"/>
      <c r="S110" s="8"/>
      <c r="T110" s="8"/>
      <c r="U110" s="8"/>
      <c r="V110" s="8"/>
      <c r="W110" s="8"/>
      <c r="X110" s="8"/>
      <c r="Y110" s="8"/>
      <c r="Z110" s="8"/>
    </row>
    <row r="111" spans="1:26" ht="14.25" customHeight="1" x14ac:dyDescent="0.3">
      <c r="A111" s="8"/>
      <c r="B111" s="8"/>
      <c r="C111" s="8"/>
      <c r="D111" s="8"/>
      <c r="E111" s="8"/>
      <c r="F111" s="8"/>
      <c r="G111" s="8"/>
      <c r="H111" s="8"/>
      <c r="I111" s="89"/>
      <c r="J111" s="8"/>
      <c r="K111" s="8"/>
      <c r="L111" s="8"/>
      <c r="M111" s="8"/>
      <c r="N111" s="8"/>
      <c r="O111" s="8"/>
      <c r="P111" s="8"/>
      <c r="Q111" s="8"/>
      <c r="R111" s="8"/>
      <c r="S111" s="8"/>
      <c r="T111" s="8"/>
      <c r="U111" s="8"/>
      <c r="V111" s="8"/>
      <c r="W111" s="8"/>
      <c r="X111" s="8"/>
      <c r="Y111" s="8"/>
      <c r="Z111" s="8"/>
    </row>
    <row r="112" spans="1:26" ht="14.25" customHeight="1" x14ac:dyDescent="0.3">
      <c r="A112" s="8"/>
      <c r="B112" s="8"/>
      <c r="C112" s="8"/>
      <c r="D112" s="8"/>
      <c r="E112" s="8"/>
      <c r="F112" s="8"/>
      <c r="G112" s="8"/>
      <c r="H112" s="8"/>
      <c r="I112" s="89"/>
      <c r="J112" s="8"/>
      <c r="K112" s="8"/>
      <c r="L112" s="8"/>
      <c r="M112" s="8"/>
      <c r="N112" s="8"/>
      <c r="O112" s="8"/>
      <c r="P112" s="8"/>
      <c r="Q112" s="8"/>
      <c r="R112" s="8"/>
      <c r="S112" s="8"/>
      <c r="T112" s="8"/>
      <c r="U112" s="8"/>
      <c r="V112" s="8"/>
      <c r="W112" s="8"/>
      <c r="X112" s="8"/>
      <c r="Y112" s="8"/>
      <c r="Z112" s="8"/>
    </row>
    <row r="113" spans="1:26" ht="14.25" customHeight="1" x14ac:dyDescent="0.3">
      <c r="A113" s="8"/>
      <c r="B113" s="8"/>
      <c r="C113" s="8"/>
      <c r="D113" s="8"/>
      <c r="E113" s="8"/>
      <c r="F113" s="8"/>
      <c r="G113" s="8"/>
      <c r="H113" s="8"/>
      <c r="I113" s="89"/>
      <c r="J113" s="8"/>
      <c r="K113" s="8"/>
      <c r="L113" s="8"/>
      <c r="M113" s="8"/>
      <c r="N113" s="8"/>
      <c r="O113" s="8"/>
      <c r="P113" s="8"/>
      <c r="Q113" s="8"/>
      <c r="R113" s="8"/>
      <c r="S113" s="8"/>
      <c r="T113" s="8"/>
      <c r="U113" s="8"/>
      <c r="V113" s="8"/>
      <c r="W113" s="8"/>
      <c r="X113" s="8"/>
      <c r="Y113" s="8"/>
      <c r="Z113" s="8"/>
    </row>
    <row r="114" spans="1:26" ht="14.25" customHeight="1" x14ac:dyDescent="0.3">
      <c r="A114" s="8"/>
      <c r="B114" s="8"/>
      <c r="C114" s="8"/>
      <c r="D114" s="8"/>
      <c r="E114" s="8"/>
      <c r="F114" s="8"/>
      <c r="G114" s="8"/>
      <c r="H114" s="8"/>
      <c r="I114" s="89"/>
      <c r="J114" s="8"/>
      <c r="K114" s="8"/>
      <c r="L114" s="8"/>
      <c r="M114" s="8"/>
      <c r="N114" s="8"/>
      <c r="O114" s="8"/>
      <c r="P114" s="8"/>
      <c r="Q114" s="8"/>
      <c r="R114" s="8"/>
      <c r="S114" s="8"/>
      <c r="T114" s="8"/>
      <c r="U114" s="8"/>
      <c r="V114" s="8"/>
      <c r="W114" s="8"/>
      <c r="X114" s="8"/>
      <c r="Y114" s="8"/>
      <c r="Z114" s="8"/>
    </row>
    <row r="115" spans="1:26" ht="14.25" customHeight="1" x14ac:dyDescent="0.3">
      <c r="A115" s="8"/>
      <c r="B115" s="8"/>
      <c r="C115" s="8"/>
      <c r="D115" s="8"/>
      <c r="E115" s="8"/>
      <c r="F115" s="8"/>
      <c r="G115" s="8"/>
      <c r="H115" s="8"/>
      <c r="I115" s="89"/>
      <c r="J115" s="8"/>
      <c r="K115" s="8"/>
      <c r="L115" s="8"/>
      <c r="M115" s="8"/>
      <c r="N115" s="8"/>
      <c r="O115" s="8"/>
      <c r="P115" s="8"/>
      <c r="Q115" s="8"/>
      <c r="R115" s="8"/>
      <c r="S115" s="8"/>
      <c r="T115" s="8"/>
      <c r="U115" s="8"/>
      <c r="V115" s="8"/>
      <c r="W115" s="8"/>
      <c r="X115" s="8"/>
      <c r="Y115" s="8"/>
      <c r="Z115" s="8"/>
    </row>
    <row r="116" spans="1:26" ht="14.25" customHeight="1" x14ac:dyDescent="0.3">
      <c r="A116" s="8"/>
      <c r="B116" s="8"/>
      <c r="C116" s="8"/>
      <c r="D116" s="8"/>
      <c r="E116" s="8"/>
      <c r="F116" s="8"/>
      <c r="G116" s="8"/>
      <c r="H116" s="8"/>
      <c r="I116" s="89"/>
      <c r="J116" s="8"/>
      <c r="K116" s="8"/>
      <c r="L116" s="8"/>
      <c r="M116" s="8"/>
      <c r="N116" s="8"/>
      <c r="O116" s="8"/>
      <c r="P116" s="8"/>
      <c r="Q116" s="8"/>
      <c r="R116" s="8"/>
      <c r="S116" s="8"/>
      <c r="T116" s="8"/>
      <c r="U116" s="8"/>
      <c r="V116" s="8"/>
      <c r="W116" s="8"/>
      <c r="X116" s="8"/>
      <c r="Y116" s="8"/>
      <c r="Z116" s="8"/>
    </row>
    <row r="117" spans="1:26" ht="14.25" customHeight="1" x14ac:dyDescent="0.3">
      <c r="A117" s="8"/>
      <c r="B117" s="8"/>
      <c r="C117" s="8"/>
      <c r="D117" s="8"/>
      <c r="E117" s="8"/>
      <c r="F117" s="8"/>
      <c r="G117" s="8"/>
      <c r="H117" s="8"/>
      <c r="I117" s="89"/>
      <c r="J117" s="8"/>
      <c r="K117" s="8"/>
      <c r="L117" s="8"/>
      <c r="M117" s="8"/>
      <c r="N117" s="8"/>
      <c r="O117" s="8"/>
      <c r="P117" s="8"/>
      <c r="Q117" s="8"/>
      <c r="R117" s="8"/>
      <c r="S117" s="8"/>
      <c r="T117" s="8"/>
      <c r="U117" s="8"/>
      <c r="V117" s="8"/>
      <c r="W117" s="8"/>
      <c r="X117" s="8"/>
      <c r="Y117" s="8"/>
      <c r="Z117" s="8"/>
    </row>
    <row r="118" spans="1:26" ht="14.25" customHeight="1" x14ac:dyDescent="0.3">
      <c r="A118" s="8"/>
      <c r="B118" s="8"/>
      <c r="C118" s="8"/>
      <c r="D118" s="8"/>
      <c r="E118" s="8"/>
      <c r="F118" s="8"/>
      <c r="G118" s="8"/>
      <c r="H118" s="8"/>
      <c r="I118" s="89"/>
      <c r="J118" s="8"/>
      <c r="K118" s="8"/>
      <c r="L118" s="8"/>
      <c r="M118" s="8"/>
      <c r="N118" s="8"/>
      <c r="O118" s="8"/>
      <c r="P118" s="8"/>
      <c r="Q118" s="8"/>
      <c r="R118" s="8"/>
      <c r="S118" s="8"/>
      <c r="T118" s="8"/>
      <c r="U118" s="8"/>
      <c r="V118" s="8"/>
      <c r="W118" s="8"/>
      <c r="X118" s="8"/>
      <c r="Y118" s="8"/>
      <c r="Z118" s="8"/>
    </row>
    <row r="119" spans="1:26" ht="14.25" customHeight="1" x14ac:dyDescent="0.3">
      <c r="A119" s="8"/>
      <c r="B119" s="8"/>
      <c r="C119" s="8"/>
      <c r="D119" s="8"/>
      <c r="E119" s="8"/>
      <c r="F119" s="8"/>
      <c r="G119" s="8"/>
      <c r="H119" s="8"/>
      <c r="I119" s="89"/>
      <c r="J119" s="8"/>
      <c r="K119" s="8"/>
      <c r="L119" s="8"/>
      <c r="M119" s="8"/>
      <c r="N119" s="8"/>
      <c r="O119" s="8"/>
      <c r="P119" s="8"/>
      <c r="Q119" s="8"/>
      <c r="R119" s="8"/>
      <c r="S119" s="8"/>
      <c r="T119" s="8"/>
      <c r="U119" s="8"/>
      <c r="V119" s="8"/>
      <c r="W119" s="8"/>
      <c r="X119" s="8"/>
      <c r="Y119" s="8"/>
      <c r="Z119" s="8"/>
    </row>
    <row r="120" spans="1:26" ht="14.25" customHeight="1" x14ac:dyDescent="0.3">
      <c r="A120" s="8"/>
      <c r="B120" s="8"/>
      <c r="C120" s="8"/>
      <c r="D120" s="8"/>
      <c r="E120" s="8"/>
      <c r="F120" s="8"/>
      <c r="G120" s="8"/>
      <c r="H120" s="8"/>
      <c r="I120" s="89"/>
      <c r="J120" s="8"/>
      <c r="K120" s="8"/>
      <c r="L120" s="8"/>
      <c r="M120" s="8"/>
      <c r="N120" s="8"/>
      <c r="O120" s="8"/>
      <c r="P120" s="8"/>
      <c r="Q120" s="8"/>
      <c r="R120" s="8"/>
      <c r="S120" s="8"/>
      <c r="T120" s="8"/>
      <c r="U120" s="8"/>
      <c r="V120" s="8"/>
      <c r="W120" s="8"/>
      <c r="X120" s="8"/>
      <c r="Y120" s="8"/>
      <c r="Z120" s="8"/>
    </row>
    <row r="121" spans="1:26" ht="14.25" customHeight="1" x14ac:dyDescent="0.3">
      <c r="A121" s="8"/>
      <c r="B121" s="8"/>
      <c r="C121" s="8"/>
      <c r="D121" s="8"/>
      <c r="E121" s="8"/>
      <c r="F121" s="8"/>
      <c r="G121" s="8"/>
      <c r="H121" s="8"/>
      <c r="I121" s="89"/>
      <c r="J121" s="8"/>
      <c r="K121" s="8"/>
      <c r="L121" s="8"/>
      <c r="M121" s="8"/>
      <c r="N121" s="8"/>
      <c r="O121" s="8"/>
      <c r="P121" s="8"/>
      <c r="Q121" s="8"/>
      <c r="R121" s="8"/>
      <c r="S121" s="8"/>
      <c r="T121" s="8"/>
      <c r="U121" s="8"/>
      <c r="V121" s="8"/>
      <c r="W121" s="8"/>
      <c r="X121" s="8"/>
      <c r="Y121" s="8"/>
      <c r="Z121" s="8"/>
    </row>
    <row r="122" spans="1:26" ht="14.25" customHeight="1" x14ac:dyDescent="0.3">
      <c r="A122" s="8"/>
      <c r="B122" s="8"/>
      <c r="C122" s="8"/>
      <c r="D122" s="8"/>
      <c r="E122" s="8"/>
      <c r="F122" s="8"/>
      <c r="G122" s="8"/>
      <c r="H122" s="8"/>
      <c r="I122" s="89"/>
      <c r="J122" s="8"/>
      <c r="K122" s="8"/>
      <c r="L122" s="8"/>
      <c r="M122" s="8"/>
      <c r="N122" s="8"/>
      <c r="O122" s="8"/>
      <c r="P122" s="8"/>
      <c r="Q122" s="8"/>
      <c r="R122" s="8"/>
      <c r="S122" s="8"/>
      <c r="T122" s="8"/>
      <c r="U122" s="8"/>
      <c r="V122" s="8"/>
      <c r="W122" s="8"/>
      <c r="X122" s="8"/>
      <c r="Y122" s="8"/>
      <c r="Z122" s="8"/>
    </row>
    <row r="123" spans="1:26" ht="14.25" customHeight="1" x14ac:dyDescent="0.3">
      <c r="A123" s="8"/>
      <c r="B123" s="8"/>
      <c r="C123" s="8"/>
      <c r="D123" s="8"/>
      <c r="E123" s="8"/>
      <c r="F123" s="8"/>
      <c r="G123" s="8"/>
      <c r="H123" s="8"/>
      <c r="I123" s="89"/>
      <c r="J123" s="8"/>
      <c r="K123" s="8"/>
      <c r="L123" s="8"/>
      <c r="M123" s="8"/>
      <c r="N123" s="8"/>
      <c r="O123" s="8"/>
      <c r="P123" s="8"/>
      <c r="Q123" s="8"/>
      <c r="R123" s="8"/>
      <c r="S123" s="8"/>
      <c r="T123" s="8"/>
      <c r="U123" s="8"/>
      <c r="V123" s="8"/>
      <c r="W123" s="8"/>
      <c r="X123" s="8"/>
      <c r="Y123" s="8"/>
      <c r="Z123" s="8"/>
    </row>
    <row r="124" spans="1:26" ht="14.25" customHeight="1" x14ac:dyDescent="0.3">
      <c r="A124" s="8"/>
      <c r="B124" s="8"/>
      <c r="C124" s="8"/>
      <c r="D124" s="8"/>
      <c r="E124" s="8"/>
      <c r="F124" s="8"/>
      <c r="G124" s="8"/>
      <c r="H124" s="8"/>
      <c r="I124" s="89"/>
      <c r="J124" s="8"/>
      <c r="K124" s="8"/>
      <c r="L124" s="8"/>
      <c r="M124" s="8"/>
      <c r="N124" s="8"/>
      <c r="O124" s="8"/>
      <c r="P124" s="8"/>
      <c r="Q124" s="8"/>
      <c r="R124" s="8"/>
      <c r="S124" s="8"/>
      <c r="T124" s="8"/>
      <c r="U124" s="8"/>
      <c r="V124" s="8"/>
      <c r="W124" s="8"/>
      <c r="X124" s="8"/>
      <c r="Y124" s="8"/>
      <c r="Z124" s="8"/>
    </row>
    <row r="125" spans="1:26" ht="14.25" customHeight="1" x14ac:dyDescent="0.3">
      <c r="A125" s="8"/>
      <c r="B125" s="8"/>
      <c r="C125" s="8"/>
      <c r="D125" s="8"/>
      <c r="E125" s="8"/>
      <c r="F125" s="8"/>
      <c r="G125" s="8"/>
      <c r="H125" s="8"/>
      <c r="I125" s="89"/>
      <c r="J125" s="8"/>
      <c r="K125" s="8"/>
      <c r="L125" s="8"/>
      <c r="M125" s="8"/>
      <c r="N125" s="8"/>
      <c r="O125" s="8"/>
      <c r="P125" s="8"/>
      <c r="Q125" s="8"/>
      <c r="R125" s="8"/>
      <c r="S125" s="8"/>
      <c r="T125" s="8"/>
      <c r="U125" s="8"/>
      <c r="V125" s="8"/>
      <c r="W125" s="8"/>
      <c r="X125" s="8"/>
      <c r="Y125" s="8"/>
      <c r="Z125" s="8"/>
    </row>
    <row r="126" spans="1:26" ht="14.25" customHeight="1" x14ac:dyDescent="0.3">
      <c r="A126" s="8"/>
      <c r="B126" s="8"/>
      <c r="C126" s="8"/>
      <c r="D126" s="8"/>
      <c r="E126" s="8"/>
      <c r="F126" s="8"/>
      <c r="G126" s="8"/>
      <c r="H126" s="8"/>
      <c r="I126" s="89"/>
      <c r="J126" s="8"/>
      <c r="K126" s="8"/>
      <c r="L126" s="8"/>
      <c r="M126" s="8"/>
      <c r="N126" s="8"/>
      <c r="O126" s="8"/>
      <c r="P126" s="8"/>
      <c r="Q126" s="8"/>
      <c r="R126" s="8"/>
      <c r="S126" s="8"/>
      <c r="T126" s="8"/>
      <c r="U126" s="8"/>
      <c r="V126" s="8"/>
      <c r="W126" s="8"/>
      <c r="X126" s="8"/>
      <c r="Y126" s="8"/>
      <c r="Z126" s="8"/>
    </row>
    <row r="127" spans="1:26" ht="14.25" customHeight="1" x14ac:dyDescent="0.3">
      <c r="A127" s="8"/>
      <c r="B127" s="8"/>
      <c r="C127" s="8"/>
      <c r="D127" s="8"/>
      <c r="E127" s="8"/>
      <c r="F127" s="8"/>
      <c r="G127" s="8"/>
      <c r="H127" s="8"/>
      <c r="I127" s="89"/>
      <c r="J127" s="8"/>
      <c r="K127" s="8"/>
      <c r="L127" s="8"/>
      <c r="M127" s="8"/>
      <c r="N127" s="8"/>
      <c r="O127" s="8"/>
      <c r="P127" s="8"/>
      <c r="Q127" s="8"/>
      <c r="R127" s="8"/>
      <c r="S127" s="8"/>
      <c r="T127" s="8"/>
      <c r="U127" s="8"/>
      <c r="V127" s="8"/>
      <c r="W127" s="8"/>
      <c r="X127" s="8"/>
      <c r="Y127" s="8"/>
      <c r="Z127" s="8"/>
    </row>
    <row r="128" spans="1:26" ht="14.25" customHeight="1" x14ac:dyDescent="0.3">
      <c r="A128" s="8"/>
      <c r="B128" s="8"/>
      <c r="C128" s="8"/>
      <c r="D128" s="8"/>
      <c r="E128" s="8"/>
      <c r="F128" s="8"/>
      <c r="G128" s="8"/>
      <c r="H128" s="8"/>
      <c r="I128" s="89"/>
      <c r="J128" s="8"/>
      <c r="K128" s="8"/>
      <c r="L128" s="8"/>
      <c r="M128" s="8"/>
      <c r="N128" s="8"/>
      <c r="O128" s="8"/>
      <c r="P128" s="8"/>
      <c r="Q128" s="8"/>
      <c r="R128" s="8"/>
      <c r="S128" s="8"/>
      <c r="T128" s="8"/>
      <c r="U128" s="8"/>
      <c r="V128" s="8"/>
      <c r="W128" s="8"/>
      <c r="X128" s="8"/>
      <c r="Y128" s="8"/>
      <c r="Z128" s="8"/>
    </row>
    <row r="129" spans="1:26" ht="14.25" customHeight="1" x14ac:dyDescent="0.3">
      <c r="A129" s="8"/>
      <c r="B129" s="8"/>
      <c r="C129" s="8"/>
      <c r="D129" s="8"/>
      <c r="E129" s="8"/>
      <c r="F129" s="8"/>
      <c r="G129" s="8"/>
      <c r="H129" s="8"/>
      <c r="I129" s="89"/>
      <c r="J129" s="8"/>
      <c r="K129" s="8"/>
      <c r="L129" s="8"/>
      <c r="M129" s="8"/>
      <c r="N129" s="8"/>
      <c r="O129" s="8"/>
      <c r="P129" s="8"/>
      <c r="Q129" s="8"/>
      <c r="R129" s="8"/>
      <c r="S129" s="8"/>
      <c r="T129" s="8"/>
      <c r="U129" s="8"/>
      <c r="V129" s="8"/>
      <c r="W129" s="8"/>
      <c r="X129" s="8"/>
      <c r="Y129" s="8"/>
      <c r="Z129" s="8"/>
    </row>
    <row r="130" spans="1:26" ht="14.25" customHeight="1" x14ac:dyDescent="0.3">
      <c r="A130" s="8"/>
      <c r="B130" s="8"/>
      <c r="C130" s="8"/>
      <c r="D130" s="8"/>
      <c r="E130" s="8"/>
      <c r="F130" s="8"/>
      <c r="G130" s="8"/>
      <c r="H130" s="8"/>
      <c r="I130" s="89"/>
      <c r="J130" s="8"/>
      <c r="K130" s="8"/>
      <c r="L130" s="8"/>
      <c r="M130" s="8"/>
      <c r="N130" s="8"/>
      <c r="O130" s="8"/>
      <c r="P130" s="8"/>
      <c r="Q130" s="8"/>
      <c r="R130" s="8"/>
      <c r="S130" s="8"/>
      <c r="T130" s="8"/>
      <c r="U130" s="8"/>
      <c r="V130" s="8"/>
      <c r="W130" s="8"/>
      <c r="X130" s="8"/>
      <c r="Y130" s="8"/>
      <c r="Z130" s="8"/>
    </row>
    <row r="131" spans="1:26" ht="14.25" customHeight="1" x14ac:dyDescent="0.3">
      <c r="A131" s="8"/>
      <c r="B131" s="8"/>
      <c r="C131" s="8"/>
      <c r="D131" s="8"/>
      <c r="E131" s="8"/>
      <c r="F131" s="8"/>
      <c r="G131" s="8"/>
      <c r="H131" s="8"/>
      <c r="I131" s="89"/>
      <c r="J131" s="8"/>
      <c r="K131" s="8"/>
      <c r="L131" s="8"/>
      <c r="M131" s="8"/>
      <c r="N131" s="8"/>
      <c r="O131" s="8"/>
      <c r="P131" s="8"/>
      <c r="Q131" s="8"/>
      <c r="R131" s="8"/>
      <c r="S131" s="8"/>
      <c r="T131" s="8"/>
      <c r="U131" s="8"/>
      <c r="V131" s="8"/>
      <c r="W131" s="8"/>
      <c r="X131" s="8"/>
      <c r="Y131" s="8"/>
      <c r="Z131" s="8"/>
    </row>
    <row r="132" spans="1:26" ht="14.25" customHeight="1" x14ac:dyDescent="0.3">
      <c r="A132" s="8"/>
      <c r="B132" s="8"/>
      <c r="C132" s="8"/>
      <c r="D132" s="8"/>
      <c r="E132" s="8"/>
      <c r="F132" s="8"/>
      <c r="G132" s="8"/>
      <c r="H132" s="8"/>
      <c r="I132" s="89"/>
      <c r="J132" s="8"/>
      <c r="K132" s="8"/>
      <c r="L132" s="8"/>
      <c r="M132" s="8"/>
      <c r="N132" s="8"/>
      <c r="O132" s="8"/>
      <c r="P132" s="8"/>
      <c r="Q132" s="8"/>
      <c r="R132" s="8"/>
      <c r="S132" s="8"/>
      <c r="T132" s="8"/>
      <c r="U132" s="8"/>
      <c r="V132" s="8"/>
      <c r="W132" s="8"/>
      <c r="X132" s="8"/>
      <c r="Y132" s="8"/>
      <c r="Z132" s="8"/>
    </row>
    <row r="133" spans="1:26" ht="14.25" customHeight="1" x14ac:dyDescent="0.3">
      <c r="A133" s="8"/>
      <c r="B133" s="8"/>
      <c r="C133" s="8"/>
      <c r="D133" s="8"/>
      <c r="E133" s="8"/>
      <c r="F133" s="8"/>
      <c r="G133" s="8"/>
      <c r="H133" s="8"/>
      <c r="I133" s="89"/>
      <c r="J133" s="8"/>
      <c r="K133" s="8"/>
      <c r="L133" s="8"/>
      <c r="M133" s="8"/>
      <c r="N133" s="8"/>
      <c r="O133" s="8"/>
      <c r="P133" s="8"/>
      <c r="Q133" s="8"/>
      <c r="R133" s="8"/>
      <c r="S133" s="8"/>
      <c r="T133" s="8"/>
      <c r="U133" s="8"/>
      <c r="V133" s="8"/>
      <c r="W133" s="8"/>
      <c r="X133" s="8"/>
      <c r="Y133" s="8"/>
      <c r="Z133" s="8"/>
    </row>
    <row r="134" spans="1:26" ht="14.25" customHeight="1" x14ac:dyDescent="0.3">
      <c r="A134" s="8"/>
      <c r="B134" s="8"/>
      <c r="C134" s="8"/>
      <c r="D134" s="8"/>
      <c r="E134" s="8"/>
      <c r="F134" s="8"/>
      <c r="G134" s="8"/>
      <c r="H134" s="8"/>
      <c r="I134" s="89"/>
      <c r="J134" s="8"/>
      <c r="K134" s="8"/>
      <c r="L134" s="8"/>
      <c r="M134" s="8"/>
      <c r="N134" s="8"/>
      <c r="O134" s="8"/>
      <c r="P134" s="8"/>
      <c r="Q134" s="8"/>
      <c r="R134" s="8"/>
      <c r="S134" s="8"/>
      <c r="T134" s="8"/>
      <c r="U134" s="8"/>
      <c r="V134" s="8"/>
      <c r="W134" s="8"/>
      <c r="X134" s="8"/>
      <c r="Y134" s="8"/>
      <c r="Z134" s="8"/>
    </row>
    <row r="135" spans="1:26" ht="14.25" customHeight="1" x14ac:dyDescent="0.3">
      <c r="A135" s="8"/>
      <c r="B135" s="8"/>
      <c r="C135" s="8"/>
      <c r="D135" s="8"/>
      <c r="E135" s="8"/>
      <c r="F135" s="8"/>
      <c r="G135" s="8"/>
      <c r="H135" s="8"/>
      <c r="I135" s="89"/>
      <c r="J135" s="8"/>
      <c r="K135" s="8"/>
      <c r="L135" s="8"/>
      <c r="M135" s="8"/>
      <c r="N135" s="8"/>
      <c r="O135" s="8"/>
      <c r="P135" s="8"/>
      <c r="Q135" s="8"/>
      <c r="R135" s="8"/>
      <c r="S135" s="8"/>
      <c r="T135" s="8"/>
      <c r="U135" s="8"/>
      <c r="V135" s="8"/>
      <c r="W135" s="8"/>
      <c r="X135" s="8"/>
      <c r="Y135" s="8"/>
      <c r="Z135" s="8"/>
    </row>
    <row r="136" spans="1:26" ht="14.25" customHeight="1" x14ac:dyDescent="0.3">
      <c r="A136" s="8"/>
      <c r="B136" s="8"/>
      <c r="C136" s="8"/>
      <c r="D136" s="8"/>
      <c r="E136" s="8"/>
      <c r="F136" s="8"/>
      <c r="G136" s="8"/>
      <c r="H136" s="8"/>
      <c r="I136" s="89"/>
      <c r="J136" s="8"/>
      <c r="K136" s="8"/>
      <c r="L136" s="8"/>
      <c r="M136" s="8"/>
      <c r="N136" s="8"/>
      <c r="O136" s="8"/>
      <c r="P136" s="8"/>
      <c r="Q136" s="8"/>
      <c r="R136" s="8"/>
      <c r="S136" s="8"/>
      <c r="T136" s="8"/>
      <c r="U136" s="8"/>
      <c r="V136" s="8"/>
      <c r="W136" s="8"/>
      <c r="X136" s="8"/>
      <c r="Y136" s="8"/>
      <c r="Z136" s="8"/>
    </row>
    <row r="137" spans="1:26" ht="14.25" customHeight="1" x14ac:dyDescent="0.3">
      <c r="A137" s="8"/>
      <c r="B137" s="8"/>
      <c r="C137" s="8"/>
      <c r="D137" s="8"/>
      <c r="E137" s="8"/>
      <c r="F137" s="8"/>
      <c r="G137" s="8"/>
      <c r="H137" s="8"/>
      <c r="I137" s="89"/>
      <c r="J137" s="8"/>
      <c r="K137" s="8"/>
      <c r="L137" s="8"/>
      <c r="M137" s="8"/>
      <c r="N137" s="8"/>
      <c r="O137" s="8"/>
      <c r="P137" s="8"/>
      <c r="Q137" s="8"/>
      <c r="R137" s="8"/>
      <c r="S137" s="8"/>
      <c r="T137" s="8"/>
      <c r="U137" s="8"/>
      <c r="V137" s="8"/>
      <c r="W137" s="8"/>
      <c r="X137" s="8"/>
      <c r="Y137" s="8"/>
      <c r="Z137" s="8"/>
    </row>
    <row r="138" spans="1:26" ht="14.25" customHeight="1" x14ac:dyDescent="0.3">
      <c r="A138" s="8"/>
      <c r="B138" s="8"/>
      <c r="C138" s="8"/>
      <c r="D138" s="8"/>
      <c r="E138" s="8"/>
      <c r="F138" s="8"/>
      <c r="G138" s="8"/>
      <c r="H138" s="8"/>
      <c r="I138" s="89"/>
      <c r="J138" s="8"/>
      <c r="K138" s="8"/>
      <c r="L138" s="8"/>
      <c r="M138" s="8"/>
      <c r="N138" s="8"/>
      <c r="O138" s="8"/>
      <c r="P138" s="8"/>
      <c r="Q138" s="8"/>
      <c r="R138" s="8"/>
      <c r="S138" s="8"/>
      <c r="T138" s="8"/>
      <c r="U138" s="8"/>
      <c r="V138" s="8"/>
      <c r="W138" s="8"/>
      <c r="X138" s="8"/>
      <c r="Y138" s="8"/>
      <c r="Z138" s="8"/>
    </row>
    <row r="139" spans="1:26" ht="14.25" customHeight="1" x14ac:dyDescent="0.3">
      <c r="A139" s="8"/>
      <c r="B139" s="8"/>
      <c r="C139" s="8"/>
      <c r="D139" s="8"/>
      <c r="E139" s="8"/>
      <c r="F139" s="8"/>
      <c r="G139" s="8"/>
      <c r="H139" s="8"/>
      <c r="I139" s="89"/>
      <c r="J139" s="8"/>
      <c r="K139" s="8"/>
      <c r="L139" s="8"/>
      <c r="M139" s="8"/>
      <c r="N139" s="8"/>
      <c r="O139" s="8"/>
      <c r="P139" s="8"/>
      <c r="Q139" s="8"/>
      <c r="R139" s="8"/>
      <c r="S139" s="8"/>
      <c r="T139" s="8"/>
      <c r="U139" s="8"/>
      <c r="V139" s="8"/>
      <c r="W139" s="8"/>
      <c r="X139" s="8"/>
      <c r="Y139" s="8"/>
      <c r="Z139" s="8"/>
    </row>
    <row r="140" spans="1:26" ht="14.25" customHeight="1" x14ac:dyDescent="0.3">
      <c r="A140" s="8"/>
      <c r="B140" s="8"/>
      <c r="C140" s="8"/>
      <c r="D140" s="8"/>
      <c r="E140" s="8"/>
      <c r="F140" s="8"/>
      <c r="G140" s="8"/>
      <c r="H140" s="8"/>
      <c r="I140" s="89"/>
      <c r="J140" s="8"/>
      <c r="K140" s="8"/>
      <c r="L140" s="8"/>
      <c r="M140" s="8"/>
      <c r="N140" s="8"/>
      <c r="O140" s="8"/>
      <c r="P140" s="8"/>
      <c r="Q140" s="8"/>
      <c r="R140" s="8"/>
      <c r="S140" s="8"/>
      <c r="T140" s="8"/>
      <c r="U140" s="8"/>
      <c r="V140" s="8"/>
      <c r="W140" s="8"/>
      <c r="X140" s="8"/>
      <c r="Y140" s="8"/>
      <c r="Z140" s="8"/>
    </row>
    <row r="141" spans="1:26" ht="14.25" customHeight="1" x14ac:dyDescent="0.3">
      <c r="A141" s="8"/>
      <c r="B141" s="8"/>
      <c r="C141" s="8"/>
      <c r="D141" s="8"/>
      <c r="E141" s="8"/>
      <c r="F141" s="8"/>
      <c r="G141" s="8"/>
      <c r="H141" s="8"/>
      <c r="I141" s="89"/>
      <c r="J141" s="8"/>
      <c r="K141" s="8"/>
      <c r="L141" s="8"/>
      <c r="M141" s="8"/>
      <c r="N141" s="8"/>
      <c r="O141" s="8"/>
      <c r="P141" s="8"/>
      <c r="Q141" s="8"/>
      <c r="R141" s="8"/>
      <c r="S141" s="8"/>
      <c r="T141" s="8"/>
      <c r="U141" s="8"/>
      <c r="V141" s="8"/>
      <c r="W141" s="8"/>
      <c r="X141" s="8"/>
      <c r="Y141" s="8"/>
      <c r="Z141" s="8"/>
    </row>
    <row r="142" spans="1:26" ht="14.25" customHeight="1" x14ac:dyDescent="0.3">
      <c r="A142" s="8"/>
      <c r="B142" s="8"/>
      <c r="C142" s="8"/>
      <c r="D142" s="8"/>
      <c r="E142" s="8"/>
      <c r="F142" s="8"/>
      <c r="G142" s="8"/>
      <c r="H142" s="8"/>
      <c r="I142" s="89"/>
      <c r="J142" s="8"/>
      <c r="K142" s="8"/>
      <c r="L142" s="8"/>
      <c r="M142" s="8"/>
      <c r="N142" s="8"/>
      <c r="O142" s="8"/>
      <c r="P142" s="8"/>
      <c r="Q142" s="8"/>
      <c r="R142" s="8"/>
      <c r="S142" s="8"/>
      <c r="T142" s="8"/>
      <c r="U142" s="8"/>
      <c r="V142" s="8"/>
      <c r="W142" s="8"/>
      <c r="X142" s="8"/>
      <c r="Y142" s="8"/>
      <c r="Z142" s="8"/>
    </row>
    <row r="143" spans="1:26" ht="14.25" customHeight="1" x14ac:dyDescent="0.3">
      <c r="A143" s="8"/>
      <c r="B143" s="8"/>
      <c r="C143" s="8"/>
      <c r="D143" s="8"/>
      <c r="E143" s="8"/>
      <c r="F143" s="8"/>
      <c r="G143" s="8"/>
      <c r="H143" s="8"/>
      <c r="I143" s="89"/>
      <c r="J143" s="8"/>
      <c r="K143" s="8"/>
      <c r="L143" s="8"/>
      <c r="M143" s="8"/>
      <c r="N143" s="8"/>
      <c r="O143" s="8"/>
      <c r="P143" s="8"/>
      <c r="Q143" s="8"/>
      <c r="R143" s="8"/>
      <c r="S143" s="8"/>
      <c r="T143" s="8"/>
      <c r="U143" s="8"/>
      <c r="V143" s="8"/>
      <c r="W143" s="8"/>
      <c r="X143" s="8"/>
      <c r="Y143" s="8"/>
      <c r="Z143" s="8"/>
    </row>
    <row r="144" spans="1:26" ht="14.25" customHeight="1" x14ac:dyDescent="0.3">
      <c r="A144" s="8"/>
      <c r="B144" s="8"/>
      <c r="C144" s="8"/>
      <c r="D144" s="8"/>
      <c r="E144" s="8"/>
      <c r="F144" s="8"/>
      <c r="G144" s="8"/>
      <c r="H144" s="8"/>
      <c r="I144" s="89"/>
      <c r="J144" s="8"/>
      <c r="K144" s="8"/>
      <c r="L144" s="8"/>
      <c r="M144" s="8"/>
      <c r="N144" s="8"/>
      <c r="O144" s="8"/>
      <c r="P144" s="8"/>
      <c r="Q144" s="8"/>
      <c r="R144" s="8"/>
      <c r="S144" s="8"/>
      <c r="T144" s="8"/>
      <c r="U144" s="8"/>
      <c r="V144" s="8"/>
      <c r="W144" s="8"/>
      <c r="X144" s="8"/>
      <c r="Y144" s="8"/>
      <c r="Z144" s="8"/>
    </row>
    <row r="145" spans="1:26" ht="14.25" customHeight="1" x14ac:dyDescent="0.3">
      <c r="A145" s="8"/>
      <c r="B145" s="8"/>
      <c r="C145" s="8"/>
      <c r="D145" s="8"/>
      <c r="E145" s="8"/>
      <c r="F145" s="8"/>
      <c r="G145" s="8"/>
      <c r="H145" s="8"/>
      <c r="I145" s="89"/>
      <c r="J145" s="8"/>
      <c r="K145" s="8"/>
      <c r="L145" s="8"/>
      <c r="M145" s="8"/>
      <c r="N145" s="8"/>
      <c r="O145" s="8"/>
      <c r="P145" s="8"/>
      <c r="Q145" s="8"/>
      <c r="R145" s="8"/>
      <c r="S145" s="8"/>
      <c r="T145" s="8"/>
      <c r="U145" s="8"/>
      <c r="V145" s="8"/>
      <c r="W145" s="8"/>
      <c r="X145" s="8"/>
      <c r="Y145" s="8"/>
      <c r="Z145" s="8"/>
    </row>
    <row r="146" spans="1:26" ht="14.25" customHeight="1" x14ac:dyDescent="0.3">
      <c r="A146" s="8"/>
      <c r="B146" s="8"/>
      <c r="C146" s="8"/>
      <c r="D146" s="8"/>
      <c r="E146" s="8"/>
      <c r="F146" s="8"/>
      <c r="G146" s="8"/>
      <c r="H146" s="8"/>
      <c r="I146" s="89"/>
      <c r="J146" s="8"/>
      <c r="K146" s="8"/>
      <c r="L146" s="8"/>
      <c r="M146" s="8"/>
      <c r="N146" s="8"/>
      <c r="O146" s="8"/>
      <c r="P146" s="8"/>
      <c r="Q146" s="8"/>
      <c r="R146" s="8"/>
      <c r="S146" s="8"/>
      <c r="T146" s="8"/>
      <c r="U146" s="8"/>
      <c r="V146" s="8"/>
      <c r="W146" s="8"/>
      <c r="X146" s="8"/>
      <c r="Y146" s="8"/>
      <c r="Z146" s="8"/>
    </row>
    <row r="147" spans="1:26" ht="14.25" customHeight="1" x14ac:dyDescent="0.3">
      <c r="A147" s="8"/>
      <c r="B147" s="8"/>
      <c r="C147" s="8"/>
      <c r="D147" s="8"/>
      <c r="E147" s="8"/>
      <c r="F147" s="8"/>
      <c r="G147" s="8"/>
      <c r="H147" s="8"/>
      <c r="I147" s="89"/>
      <c r="J147" s="8"/>
      <c r="K147" s="8"/>
      <c r="L147" s="8"/>
      <c r="M147" s="8"/>
      <c r="N147" s="8"/>
      <c r="O147" s="8"/>
      <c r="P147" s="8"/>
      <c r="Q147" s="8"/>
      <c r="R147" s="8"/>
      <c r="S147" s="8"/>
      <c r="T147" s="8"/>
      <c r="U147" s="8"/>
      <c r="V147" s="8"/>
      <c r="W147" s="8"/>
      <c r="X147" s="8"/>
      <c r="Y147" s="8"/>
      <c r="Z147" s="8"/>
    </row>
    <row r="148" spans="1:26" ht="14.25" customHeight="1" x14ac:dyDescent="0.3">
      <c r="A148" s="8"/>
      <c r="B148" s="8"/>
      <c r="C148" s="8"/>
      <c r="D148" s="8"/>
      <c r="E148" s="8"/>
      <c r="F148" s="8"/>
      <c r="G148" s="8"/>
      <c r="H148" s="8"/>
      <c r="I148" s="89"/>
      <c r="J148" s="8"/>
      <c r="K148" s="8"/>
      <c r="L148" s="8"/>
      <c r="M148" s="8"/>
      <c r="N148" s="8"/>
      <c r="O148" s="8"/>
      <c r="P148" s="8"/>
      <c r="Q148" s="8"/>
      <c r="R148" s="8"/>
      <c r="S148" s="8"/>
      <c r="T148" s="8"/>
      <c r="U148" s="8"/>
      <c r="V148" s="8"/>
      <c r="W148" s="8"/>
      <c r="X148" s="8"/>
      <c r="Y148" s="8"/>
      <c r="Z148" s="8"/>
    </row>
    <row r="149" spans="1:26" ht="14.25" customHeight="1" x14ac:dyDescent="0.3">
      <c r="A149" s="8"/>
      <c r="B149" s="8"/>
      <c r="C149" s="8"/>
      <c r="D149" s="8"/>
      <c r="E149" s="8"/>
      <c r="F149" s="8"/>
      <c r="G149" s="8"/>
      <c r="H149" s="8"/>
      <c r="I149" s="89"/>
      <c r="J149" s="8"/>
      <c r="K149" s="8"/>
      <c r="L149" s="8"/>
      <c r="M149" s="8"/>
      <c r="N149" s="8"/>
      <c r="O149" s="8"/>
      <c r="P149" s="8"/>
      <c r="Q149" s="8"/>
      <c r="R149" s="8"/>
      <c r="S149" s="8"/>
      <c r="T149" s="8"/>
      <c r="U149" s="8"/>
      <c r="V149" s="8"/>
      <c r="W149" s="8"/>
      <c r="X149" s="8"/>
      <c r="Y149" s="8"/>
      <c r="Z149" s="8"/>
    </row>
    <row r="150" spans="1:26" ht="14.25" customHeight="1" x14ac:dyDescent="0.3">
      <c r="A150" s="8"/>
      <c r="B150" s="8"/>
      <c r="C150" s="8"/>
      <c r="D150" s="8"/>
      <c r="E150" s="8"/>
      <c r="F150" s="8"/>
      <c r="G150" s="8"/>
      <c r="H150" s="8"/>
      <c r="I150" s="89"/>
      <c r="J150" s="8"/>
      <c r="K150" s="8"/>
      <c r="L150" s="8"/>
      <c r="M150" s="8"/>
      <c r="N150" s="8"/>
      <c r="O150" s="8"/>
      <c r="P150" s="8"/>
      <c r="Q150" s="8"/>
      <c r="R150" s="8"/>
      <c r="S150" s="8"/>
      <c r="T150" s="8"/>
      <c r="U150" s="8"/>
      <c r="V150" s="8"/>
      <c r="W150" s="8"/>
      <c r="X150" s="8"/>
      <c r="Y150" s="8"/>
      <c r="Z150" s="8"/>
    </row>
    <row r="151" spans="1:26" ht="14.25" customHeight="1" x14ac:dyDescent="0.3">
      <c r="A151" s="8"/>
      <c r="B151" s="8"/>
      <c r="C151" s="8"/>
      <c r="D151" s="8"/>
      <c r="E151" s="8"/>
      <c r="F151" s="8"/>
      <c r="G151" s="8"/>
      <c r="H151" s="8"/>
      <c r="I151" s="89"/>
      <c r="J151" s="8"/>
      <c r="K151" s="8"/>
      <c r="L151" s="8"/>
      <c r="M151" s="8"/>
      <c r="N151" s="8"/>
      <c r="O151" s="8"/>
      <c r="P151" s="8"/>
      <c r="Q151" s="8"/>
      <c r="R151" s="8"/>
      <c r="S151" s="8"/>
      <c r="T151" s="8"/>
      <c r="U151" s="8"/>
      <c r="V151" s="8"/>
      <c r="W151" s="8"/>
      <c r="X151" s="8"/>
      <c r="Y151" s="8"/>
      <c r="Z151" s="8"/>
    </row>
    <row r="152" spans="1:26" ht="14.25" customHeight="1" x14ac:dyDescent="0.3">
      <c r="A152" s="8"/>
      <c r="B152" s="8"/>
      <c r="C152" s="8"/>
      <c r="D152" s="8"/>
      <c r="E152" s="8"/>
      <c r="F152" s="8"/>
      <c r="G152" s="8"/>
      <c r="H152" s="8"/>
      <c r="I152" s="89"/>
      <c r="J152" s="8"/>
      <c r="K152" s="8"/>
      <c r="L152" s="8"/>
      <c r="M152" s="8"/>
      <c r="N152" s="8"/>
      <c r="O152" s="8"/>
      <c r="P152" s="8"/>
      <c r="Q152" s="8"/>
      <c r="R152" s="8"/>
      <c r="S152" s="8"/>
      <c r="T152" s="8"/>
      <c r="U152" s="8"/>
      <c r="V152" s="8"/>
      <c r="W152" s="8"/>
      <c r="X152" s="8"/>
      <c r="Y152" s="8"/>
      <c r="Z152" s="8"/>
    </row>
    <row r="153" spans="1:26" ht="14.25" customHeight="1" x14ac:dyDescent="0.3">
      <c r="A153" s="8"/>
      <c r="B153" s="8"/>
      <c r="C153" s="8"/>
      <c r="D153" s="8"/>
      <c r="E153" s="8"/>
      <c r="F153" s="8"/>
      <c r="G153" s="8"/>
      <c r="H153" s="8"/>
      <c r="I153" s="89"/>
      <c r="J153" s="8"/>
      <c r="K153" s="8"/>
      <c r="L153" s="8"/>
      <c r="M153" s="8"/>
      <c r="N153" s="8"/>
      <c r="O153" s="8"/>
      <c r="P153" s="8"/>
      <c r="Q153" s="8"/>
      <c r="R153" s="8"/>
      <c r="S153" s="8"/>
      <c r="T153" s="8"/>
      <c r="U153" s="8"/>
      <c r="V153" s="8"/>
      <c r="W153" s="8"/>
      <c r="X153" s="8"/>
      <c r="Y153" s="8"/>
      <c r="Z153" s="8"/>
    </row>
    <row r="154" spans="1:26" ht="14.25" customHeight="1" x14ac:dyDescent="0.3">
      <c r="A154" s="8"/>
      <c r="B154" s="8"/>
      <c r="C154" s="8"/>
      <c r="D154" s="8"/>
      <c r="E154" s="8"/>
      <c r="F154" s="8"/>
      <c r="G154" s="8"/>
      <c r="H154" s="8"/>
      <c r="I154" s="89"/>
      <c r="J154" s="8"/>
      <c r="K154" s="8"/>
      <c r="L154" s="8"/>
      <c r="M154" s="8"/>
      <c r="N154" s="8"/>
      <c r="O154" s="8"/>
      <c r="P154" s="8"/>
      <c r="Q154" s="8"/>
      <c r="R154" s="8"/>
      <c r="S154" s="8"/>
      <c r="T154" s="8"/>
      <c r="U154" s="8"/>
      <c r="V154" s="8"/>
      <c r="W154" s="8"/>
      <c r="X154" s="8"/>
      <c r="Y154" s="8"/>
      <c r="Z154" s="8"/>
    </row>
    <row r="155" spans="1:26" ht="14.25" customHeight="1" x14ac:dyDescent="0.3">
      <c r="A155" s="8"/>
      <c r="B155" s="8"/>
      <c r="C155" s="8"/>
      <c r="D155" s="8"/>
      <c r="E155" s="8"/>
      <c r="F155" s="8"/>
      <c r="G155" s="8"/>
      <c r="H155" s="8"/>
      <c r="I155" s="89"/>
      <c r="J155" s="8"/>
      <c r="K155" s="8"/>
      <c r="L155" s="8"/>
      <c r="M155" s="8"/>
      <c r="N155" s="8"/>
      <c r="O155" s="8"/>
      <c r="P155" s="8"/>
      <c r="Q155" s="8"/>
      <c r="R155" s="8"/>
      <c r="S155" s="8"/>
      <c r="T155" s="8"/>
      <c r="U155" s="8"/>
      <c r="V155" s="8"/>
      <c r="W155" s="8"/>
      <c r="X155" s="8"/>
      <c r="Y155" s="8"/>
      <c r="Z155" s="8"/>
    </row>
    <row r="156" spans="1:26" ht="14.25" customHeight="1" x14ac:dyDescent="0.3">
      <c r="A156" s="8"/>
      <c r="B156" s="8"/>
      <c r="C156" s="8"/>
      <c r="D156" s="8"/>
      <c r="E156" s="8"/>
      <c r="F156" s="8"/>
      <c r="G156" s="8"/>
      <c r="H156" s="8"/>
      <c r="I156" s="89"/>
      <c r="J156" s="8"/>
      <c r="K156" s="8"/>
      <c r="L156" s="8"/>
      <c r="M156" s="8"/>
      <c r="N156" s="8"/>
      <c r="O156" s="8"/>
      <c r="P156" s="8"/>
      <c r="Q156" s="8"/>
      <c r="R156" s="8"/>
      <c r="S156" s="8"/>
      <c r="T156" s="8"/>
      <c r="U156" s="8"/>
      <c r="V156" s="8"/>
      <c r="W156" s="8"/>
      <c r="X156" s="8"/>
      <c r="Y156" s="8"/>
      <c r="Z156" s="8"/>
    </row>
    <row r="157" spans="1:26" ht="14.25" customHeight="1" x14ac:dyDescent="0.3">
      <c r="A157" s="8"/>
      <c r="B157" s="8"/>
      <c r="C157" s="8"/>
      <c r="D157" s="8"/>
      <c r="E157" s="8"/>
      <c r="F157" s="8"/>
      <c r="G157" s="8"/>
      <c r="H157" s="8"/>
      <c r="I157" s="89"/>
      <c r="J157" s="8"/>
      <c r="K157" s="8"/>
      <c r="L157" s="8"/>
      <c r="M157" s="8"/>
      <c r="N157" s="8"/>
      <c r="O157" s="8"/>
      <c r="P157" s="8"/>
      <c r="Q157" s="8"/>
      <c r="R157" s="8"/>
      <c r="S157" s="8"/>
      <c r="T157" s="8"/>
      <c r="U157" s="8"/>
      <c r="V157" s="8"/>
      <c r="W157" s="8"/>
      <c r="X157" s="8"/>
      <c r="Y157" s="8"/>
      <c r="Z157" s="8"/>
    </row>
    <row r="158" spans="1:26" ht="14.25" customHeight="1" x14ac:dyDescent="0.3">
      <c r="A158" s="8"/>
      <c r="B158" s="8"/>
      <c r="C158" s="8"/>
      <c r="D158" s="8"/>
      <c r="E158" s="8"/>
      <c r="F158" s="8"/>
      <c r="G158" s="8"/>
      <c r="H158" s="8"/>
      <c r="I158" s="89"/>
      <c r="J158" s="8"/>
      <c r="K158" s="8"/>
      <c r="L158" s="8"/>
      <c r="M158" s="8"/>
      <c r="N158" s="8"/>
      <c r="O158" s="8"/>
      <c r="P158" s="8"/>
      <c r="Q158" s="8"/>
      <c r="R158" s="8"/>
      <c r="S158" s="8"/>
      <c r="T158" s="8"/>
      <c r="U158" s="8"/>
      <c r="V158" s="8"/>
      <c r="W158" s="8"/>
      <c r="X158" s="8"/>
      <c r="Y158" s="8"/>
      <c r="Z158" s="8"/>
    </row>
    <row r="159" spans="1:26" ht="14.25" customHeight="1" x14ac:dyDescent="0.3">
      <c r="A159" s="8"/>
      <c r="B159" s="8"/>
      <c r="C159" s="8"/>
      <c r="D159" s="8"/>
      <c r="E159" s="8"/>
      <c r="F159" s="8"/>
      <c r="G159" s="8"/>
      <c r="H159" s="8"/>
      <c r="I159" s="89"/>
      <c r="J159" s="8"/>
      <c r="K159" s="8"/>
      <c r="L159" s="8"/>
      <c r="M159" s="8"/>
      <c r="N159" s="8"/>
      <c r="O159" s="8"/>
      <c r="P159" s="8"/>
      <c r="Q159" s="8"/>
      <c r="R159" s="8"/>
      <c r="S159" s="8"/>
      <c r="T159" s="8"/>
      <c r="U159" s="8"/>
      <c r="V159" s="8"/>
      <c r="W159" s="8"/>
      <c r="X159" s="8"/>
      <c r="Y159" s="8"/>
      <c r="Z159" s="8"/>
    </row>
    <row r="160" spans="1:26" ht="14.25" customHeight="1" x14ac:dyDescent="0.3">
      <c r="A160" s="8"/>
      <c r="B160" s="8"/>
      <c r="C160" s="8"/>
      <c r="D160" s="8"/>
      <c r="E160" s="8"/>
      <c r="F160" s="8"/>
      <c r="G160" s="8"/>
      <c r="H160" s="8"/>
      <c r="I160" s="89"/>
      <c r="J160" s="8"/>
      <c r="K160" s="8"/>
      <c r="L160" s="8"/>
      <c r="M160" s="8"/>
      <c r="N160" s="8"/>
      <c r="O160" s="8"/>
      <c r="P160" s="8"/>
      <c r="Q160" s="8"/>
      <c r="R160" s="8"/>
      <c r="S160" s="8"/>
      <c r="T160" s="8"/>
      <c r="U160" s="8"/>
      <c r="V160" s="8"/>
      <c r="W160" s="8"/>
      <c r="X160" s="8"/>
      <c r="Y160" s="8"/>
      <c r="Z160" s="8"/>
    </row>
    <row r="161" spans="1:26" ht="14.25" customHeight="1" x14ac:dyDescent="0.3">
      <c r="A161" s="8"/>
      <c r="B161" s="8"/>
      <c r="C161" s="8"/>
      <c r="D161" s="8"/>
      <c r="E161" s="8"/>
      <c r="F161" s="8"/>
      <c r="G161" s="8"/>
      <c r="H161" s="8"/>
      <c r="I161" s="89"/>
      <c r="J161" s="8"/>
      <c r="K161" s="8"/>
      <c r="L161" s="8"/>
      <c r="M161" s="8"/>
      <c r="N161" s="8"/>
      <c r="O161" s="8"/>
      <c r="P161" s="8"/>
      <c r="Q161" s="8"/>
      <c r="R161" s="8"/>
      <c r="S161" s="8"/>
      <c r="T161" s="8"/>
      <c r="U161" s="8"/>
      <c r="V161" s="8"/>
      <c r="W161" s="8"/>
      <c r="X161" s="8"/>
      <c r="Y161" s="8"/>
      <c r="Z161" s="8"/>
    </row>
    <row r="162" spans="1:26" ht="14.25" customHeight="1" x14ac:dyDescent="0.3">
      <c r="A162" s="8"/>
      <c r="B162" s="8"/>
      <c r="C162" s="8"/>
      <c r="D162" s="8"/>
      <c r="E162" s="8"/>
      <c r="F162" s="8"/>
      <c r="G162" s="8"/>
      <c r="H162" s="8"/>
      <c r="I162" s="89"/>
      <c r="J162" s="8"/>
      <c r="K162" s="8"/>
      <c r="L162" s="8"/>
      <c r="M162" s="8"/>
      <c r="N162" s="8"/>
      <c r="O162" s="8"/>
      <c r="P162" s="8"/>
      <c r="Q162" s="8"/>
      <c r="R162" s="8"/>
      <c r="S162" s="8"/>
      <c r="T162" s="8"/>
      <c r="U162" s="8"/>
      <c r="V162" s="8"/>
      <c r="W162" s="8"/>
      <c r="X162" s="8"/>
      <c r="Y162" s="8"/>
      <c r="Z162" s="8"/>
    </row>
    <row r="163" spans="1:26" ht="14.25" customHeight="1" x14ac:dyDescent="0.3">
      <c r="A163" s="8"/>
      <c r="B163" s="8"/>
      <c r="C163" s="8"/>
      <c r="D163" s="8"/>
      <c r="E163" s="8"/>
      <c r="F163" s="8"/>
      <c r="G163" s="8"/>
      <c r="H163" s="8"/>
      <c r="I163" s="89"/>
      <c r="J163" s="8"/>
      <c r="K163" s="8"/>
      <c r="L163" s="8"/>
      <c r="M163" s="8"/>
      <c r="N163" s="8"/>
      <c r="O163" s="8"/>
      <c r="P163" s="8"/>
      <c r="Q163" s="8"/>
      <c r="R163" s="8"/>
      <c r="S163" s="8"/>
      <c r="T163" s="8"/>
      <c r="U163" s="8"/>
      <c r="V163" s="8"/>
      <c r="W163" s="8"/>
      <c r="X163" s="8"/>
      <c r="Y163" s="8"/>
      <c r="Z163" s="8"/>
    </row>
    <row r="164" spans="1:26" ht="14.25" customHeight="1" x14ac:dyDescent="0.3">
      <c r="A164" s="8"/>
      <c r="B164" s="8"/>
      <c r="C164" s="8"/>
      <c r="D164" s="8"/>
      <c r="E164" s="8"/>
      <c r="F164" s="8"/>
      <c r="G164" s="8"/>
      <c r="H164" s="8"/>
      <c r="I164" s="89"/>
      <c r="J164" s="8"/>
      <c r="K164" s="8"/>
      <c r="L164" s="8"/>
      <c r="M164" s="8"/>
      <c r="N164" s="8"/>
      <c r="O164" s="8"/>
      <c r="P164" s="8"/>
      <c r="Q164" s="8"/>
      <c r="R164" s="8"/>
      <c r="S164" s="8"/>
      <c r="T164" s="8"/>
      <c r="U164" s="8"/>
      <c r="V164" s="8"/>
      <c r="W164" s="8"/>
      <c r="X164" s="8"/>
      <c r="Y164" s="8"/>
      <c r="Z164" s="8"/>
    </row>
    <row r="165" spans="1:26" ht="14.25" customHeight="1" x14ac:dyDescent="0.3">
      <c r="A165" s="8"/>
      <c r="B165" s="8"/>
      <c r="C165" s="8"/>
      <c r="D165" s="8"/>
      <c r="E165" s="8"/>
      <c r="F165" s="8"/>
      <c r="G165" s="8"/>
      <c r="H165" s="8"/>
      <c r="I165" s="89"/>
      <c r="J165" s="8"/>
      <c r="K165" s="8"/>
      <c r="L165" s="8"/>
      <c r="M165" s="8"/>
      <c r="N165" s="8"/>
      <c r="O165" s="8"/>
      <c r="P165" s="8"/>
      <c r="Q165" s="8"/>
      <c r="R165" s="8"/>
      <c r="S165" s="8"/>
      <c r="T165" s="8"/>
      <c r="U165" s="8"/>
      <c r="V165" s="8"/>
      <c r="W165" s="8"/>
      <c r="X165" s="8"/>
      <c r="Y165" s="8"/>
      <c r="Z165" s="8"/>
    </row>
    <row r="166" spans="1:26" ht="14.25" customHeight="1" x14ac:dyDescent="0.3">
      <c r="A166" s="8"/>
      <c r="B166" s="8"/>
      <c r="C166" s="8"/>
      <c r="D166" s="8"/>
      <c r="E166" s="8"/>
      <c r="F166" s="8"/>
      <c r="G166" s="8"/>
      <c r="H166" s="8"/>
      <c r="I166" s="89"/>
      <c r="J166" s="8"/>
      <c r="K166" s="8"/>
      <c r="L166" s="8"/>
      <c r="M166" s="8"/>
      <c r="N166" s="8"/>
      <c r="O166" s="8"/>
      <c r="P166" s="8"/>
      <c r="Q166" s="8"/>
      <c r="R166" s="8"/>
      <c r="S166" s="8"/>
      <c r="T166" s="8"/>
      <c r="U166" s="8"/>
      <c r="V166" s="8"/>
      <c r="W166" s="8"/>
      <c r="X166" s="8"/>
      <c r="Y166" s="8"/>
      <c r="Z166" s="8"/>
    </row>
    <row r="167" spans="1:26" ht="14.25" customHeight="1" x14ac:dyDescent="0.3">
      <c r="A167" s="8"/>
      <c r="B167" s="8"/>
      <c r="C167" s="8"/>
      <c r="D167" s="8"/>
      <c r="E167" s="8"/>
      <c r="F167" s="8"/>
      <c r="G167" s="8"/>
      <c r="H167" s="8"/>
      <c r="I167" s="89"/>
      <c r="J167" s="8"/>
      <c r="K167" s="8"/>
      <c r="L167" s="8"/>
      <c r="M167" s="8"/>
      <c r="N167" s="8"/>
      <c r="O167" s="8"/>
      <c r="P167" s="8"/>
      <c r="Q167" s="8"/>
      <c r="R167" s="8"/>
      <c r="S167" s="8"/>
      <c r="T167" s="8"/>
      <c r="U167" s="8"/>
      <c r="V167" s="8"/>
      <c r="W167" s="8"/>
      <c r="X167" s="8"/>
      <c r="Y167" s="8"/>
      <c r="Z167" s="8"/>
    </row>
    <row r="168" spans="1:26" ht="14.25" customHeight="1" x14ac:dyDescent="0.3">
      <c r="A168" s="8"/>
      <c r="B168" s="8"/>
      <c r="C168" s="8"/>
      <c r="D168" s="8"/>
      <c r="E168" s="8"/>
      <c r="F168" s="8"/>
      <c r="G168" s="8"/>
      <c r="H168" s="8"/>
      <c r="I168" s="89"/>
      <c r="J168" s="8"/>
      <c r="K168" s="8"/>
      <c r="L168" s="8"/>
      <c r="M168" s="8"/>
      <c r="N168" s="8"/>
      <c r="O168" s="8"/>
      <c r="P168" s="8"/>
      <c r="Q168" s="8"/>
      <c r="R168" s="8"/>
      <c r="S168" s="8"/>
      <c r="T168" s="8"/>
      <c r="U168" s="8"/>
      <c r="V168" s="8"/>
      <c r="W168" s="8"/>
      <c r="X168" s="8"/>
      <c r="Y168" s="8"/>
      <c r="Z168" s="8"/>
    </row>
    <row r="169" spans="1:26" ht="14.25" customHeight="1" x14ac:dyDescent="0.3">
      <c r="A169" s="8"/>
      <c r="B169" s="8"/>
      <c r="C169" s="8"/>
      <c r="D169" s="8"/>
      <c r="E169" s="8"/>
      <c r="F169" s="8"/>
      <c r="G169" s="8"/>
      <c r="H169" s="8"/>
      <c r="I169" s="89"/>
      <c r="J169" s="8"/>
      <c r="K169" s="8"/>
      <c r="L169" s="8"/>
      <c r="M169" s="8"/>
      <c r="N169" s="8"/>
      <c r="O169" s="8"/>
      <c r="P169" s="8"/>
      <c r="Q169" s="8"/>
      <c r="R169" s="8"/>
      <c r="S169" s="8"/>
      <c r="T169" s="8"/>
      <c r="U169" s="8"/>
      <c r="V169" s="8"/>
      <c r="W169" s="8"/>
      <c r="X169" s="8"/>
      <c r="Y169" s="8"/>
      <c r="Z169" s="8"/>
    </row>
    <row r="170" spans="1:26" ht="14.25" customHeight="1" x14ac:dyDescent="0.3">
      <c r="A170" s="8"/>
      <c r="B170" s="8"/>
      <c r="C170" s="8"/>
      <c r="D170" s="8"/>
      <c r="E170" s="8"/>
      <c r="F170" s="8"/>
      <c r="G170" s="8"/>
      <c r="H170" s="8"/>
      <c r="I170" s="89"/>
      <c r="J170" s="8"/>
      <c r="K170" s="8"/>
      <c r="L170" s="8"/>
      <c r="M170" s="8"/>
      <c r="N170" s="8"/>
      <c r="O170" s="8"/>
      <c r="P170" s="8"/>
      <c r="Q170" s="8"/>
      <c r="R170" s="8"/>
      <c r="S170" s="8"/>
      <c r="T170" s="8"/>
      <c r="U170" s="8"/>
      <c r="V170" s="8"/>
      <c r="W170" s="8"/>
      <c r="X170" s="8"/>
      <c r="Y170" s="8"/>
      <c r="Z170" s="8"/>
    </row>
    <row r="171" spans="1:26" ht="14.25" customHeight="1" x14ac:dyDescent="0.3">
      <c r="A171" s="8"/>
      <c r="B171" s="8"/>
      <c r="C171" s="8"/>
      <c r="D171" s="8"/>
      <c r="E171" s="8"/>
      <c r="F171" s="8"/>
      <c r="G171" s="8"/>
      <c r="H171" s="8"/>
      <c r="I171" s="89"/>
      <c r="J171" s="8"/>
      <c r="K171" s="8"/>
      <c r="L171" s="8"/>
      <c r="M171" s="8"/>
      <c r="N171" s="8"/>
      <c r="O171" s="8"/>
      <c r="P171" s="8"/>
      <c r="Q171" s="8"/>
      <c r="R171" s="8"/>
      <c r="S171" s="8"/>
      <c r="T171" s="8"/>
      <c r="U171" s="8"/>
      <c r="V171" s="8"/>
      <c r="W171" s="8"/>
      <c r="X171" s="8"/>
      <c r="Y171" s="8"/>
      <c r="Z171" s="8"/>
    </row>
    <row r="172" spans="1:26" ht="14.25" customHeight="1" x14ac:dyDescent="0.3">
      <c r="A172" s="8"/>
      <c r="B172" s="8"/>
      <c r="C172" s="8"/>
      <c r="D172" s="8"/>
      <c r="E172" s="8"/>
      <c r="F172" s="8"/>
      <c r="G172" s="8"/>
      <c r="H172" s="8"/>
      <c r="I172" s="89"/>
      <c r="J172" s="8"/>
      <c r="K172" s="8"/>
      <c r="L172" s="8"/>
      <c r="M172" s="8"/>
      <c r="N172" s="8"/>
      <c r="O172" s="8"/>
      <c r="P172" s="8"/>
      <c r="Q172" s="8"/>
      <c r="R172" s="8"/>
      <c r="S172" s="8"/>
      <c r="T172" s="8"/>
      <c r="U172" s="8"/>
      <c r="V172" s="8"/>
      <c r="W172" s="8"/>
      <c r="X172" s="8"/>
      <c r="Y172" s="8"/>
      <c r="Z172" s="8"/>
    </row>
    <row r="173" spans="1:26" ht="14.25" customHeight="1" x14ac:dyDescent="0.3">
      <c r="A173" s="8"/>
      <c r="B173" s="8"/>
      <c r="C173" s="8"/>
      <c r="D173" s="8"/>
      <c r="E173" s="8"/>
      <c r="F173" s="8"/>
      <c r="G173" s="8"/>
      <c r="H173" s="8"/>
      <c r="I173" s="89"/>
      <c r="J173" s="8"/>
      <c r="K173" s="8"/>
      <c r="L173" s="8"/>
      <c r="M173" s="8"/>
      <c r="N173" s="8"/>
      <c r="O173" s="8"/>
      <c r="P173" s="8"/>
      <c r="Q173" s="8"/>
      <c r="R173" s="8"/>
      <c r="S173" s="8"/>
      <c r="T173" s="8"/>
      <c r="U173" s="8"/>
      <c r="V173" s="8"/>
      <c r="W173" s="8"/>
      <c r="X173" s="8"/>
      <c r="Y173" s="8"/>
      <c r="Z173" s="8"/>
    </row>
    <row r="174" spans="1:26" ht="14.25" customHeight="1" x14ac:dyDescent="0.3">
      <c r="A174" s="8"/>
      <c r="B174" s="8"/>
      <c r="C174" s="8"/>
      <c r="D174" s="8"/>
      <c r="E174" s="8"/>
      <c r="F174" s="8"/>
      <c r="G174" s="8"/>
      <c r="H174" s="8"/>
      <c r="I174" s="89"/>
      <c r="J174" s="8"/>
      <c r="K174" s="8"/>
      <c r="L174" s="8"/>
      <c r="M174" s="8"/>
      <c r="N174" s="8"/>
      <c r="O174" s="8"/>
      <c r="P174" s="8"/>
      <c r="Q174" s="8"/>
      <c r="R174" s="8"/>
      <c r="S174" s="8"/>
      <c r="T174" s="8"/>
      <c r="U174" s="8"/>
      <c r="V174" s="8"/>
      <c r="W174" s="8"/>
      <c r="X174" s="8"/>
      <c r="Y174" s="8"/>
      <c r="Z174" s="8"/>
    </row>
    <row r="175" spans="1:26" ht="14.25" customHeight="1" x14ac:dyDescent="0.3">
      <c r="A175" s="8"/>
      <c r="B175" s="8"/>
      <c r="C175" s="8"/>
      <c r="D175" s="8"/>
      <c r="E175" s="8"/>
      <c r="F175" s="8"/>
      <c r="G175" s="8"/>
      <c r="H175" s="8"/>
      <c r="I175" s="89"/>
      <c r="J175" s="8"/>
      <c r="K175" s="8"/>
      <c r="L175" s="8"/>
      <c r="M175" s="8"/>
      <c r="N175" s="8"/>
      <c r="O175" s="8"/>
      <c r="P175" s="8"/>
      <c r="Q175" s="8"/>
      <c r="R175" s="8"/>
      <c r="S175" s="8"/>
      <c r="T175" s="8"/>
      <c r="U175" s="8"/>
      <c r="V175" s="8"/>
      <c r="W175" s="8"/>
      <c r="X175" s="8"/>
      <c r="Y175" s="8"/>
      <c r="Z175" s="8"/>
    </row>
    <row r="176" spans="1:26" ht="14.25" customHeight="1" x14ac:dyDescent="0.3">
      <c r="A176" s="8"/>
      <c r="B176" s="8"/>
      <c r="C176" s="8"/>
      <c r="D176" s="8"/>
      <c r="E176" s="8"/>
      <c r="F176" s="8"/>
      <c r="G176" s="8"/>
      <c r="H176" s="8"/>
      <c r="I176" s="89"/>
      <c r="J176" s="8"/>
      <c r="K176" s="8"/>
      <c r="L176" s="8"/>
      <c r="M176" s="8"/>
      <c r="N176" s="8"/>
      <c r="O176" s="8"/>
      <c r="P176" s="8"/>
      <c r="Q176" s="8"/>
      <c r="R176" s="8"/>
      <c r="S176" s="8"/>
      <c r="T176" s="8"/>
      <c r="U176" s="8"/>
      <c r="V176" s="8"/>
      <c r="W176" s="8"/>
      <c r="X176" s="8"/>
      <c r="Y176" s="8"/>
      <c r="Z176" s="8"/>
    </row>
    <row r="177" spans="1:26" ht="14.25" customHeight="1" x14ac:dyDescent="0.3">
      <c r="A177" s="8"/>
      <c r="B177" s="8"/>
      <c r="C177" s="8"/>
      <c r="D177" s="8"/>
      <c r="E177" s="8"/>
      <c r="F177" s="8"/>
      <c r="G177" s="8"/>
      <c r="H177" s="8"/>
      <c r="I177" s="89"/>
      <c r="J177" s="8"/>
      <c r="K177" s="8"/>
      <c r="L177" s="8"/>
      <c r="M177" s="8"/>
      <c r="N177" s="8"/>
      <c r="O177" s="8"/>
      <c r="P177" s="8"/>
      <c r="Q177" s="8"/>
      <c r="R177" s="8"/>
      <c r="S177" s="8"/>
      <c r="T177" s="8"/>
      <c r="U177" s="8"/>
      <c r="V177" s="8"/>
      <c r="W177" s="8"/>
      <c r="X177" s="8"/>
      <c r="Y177" s="8"/>
      <c r="Z177" s="8"/>
    </row>
    <row r="178" spans="1:26" ht="14.25" customHeight="1" x14ac:dyDescent="0.3">
      <c r="A178" s="8"/>
      <c r="B178" s="8"/>
      <c r="C178" s="8"/>
      <c r="D178" s="8"/>
      <c r="E178" s="8"/>
      <c r="F178" s="8"/>
      <c r="G178" s="8"/>
      <c r="H178" s="8"/>
      <c r="I178" s="89"/>
      <c r="J178" s="8"/>
      <c r="K178" s="8"/>
      <c r="L178" s="8"/>
      <c r="M178" s="8"/>
      <c r="N178" s="8"/>
      <c r="O178" s="8"/>
      <c r="P178" s="8"/>
      <c r="Q178" s="8"/>
      <c r="R178" s="8"/>
      <c r="S178" s="8"/>
      <c r="T178" s="8"/>
      <c r="U178" s="8"/>
      <c r="V178" s="8"/>
      <c r="W178" s="8"/>
      <c r="X178" s="8"/>
      <c r="Y178" s="8"/>
      <c r="Z178" s="8"/>
    </row>
    <row r="179" spans="1:26" ht="14.25" customHeight="1" x14ac:dyDescent="0.3">
      <c r="A179" s="8"/>
      <c r="B179" s="8"/>
      <c r="C179" s="8"/>
      <c r="D179" s="8"/>
      <c r="E179" s="8"/>
      <c r="F179" s="8"/>
      <c r="G179" s="8"/>
      <c r="H179" s="8"/>
      <c r="I179" s="89"/>
      <c r="J179" s="8"/>
      <c r="K179" s="8"/>
      <c r="L179" s="8"/>
      <c r="M179" s="8"/>
      <c r="N179" s="8"/>
      <c r="O179" s="8"/>
      <c r="P179" s="8"/>
      <c r="Q179" s="8"/>
      <c r="R179" s="8"/>
      <c r="S179" s="8"/>
      <c r="T179" s="8"/>
      <c r="U179" s="8"/>
      <c r="V179" s="8"/>
      <c r="W179" s="8"/>
      <c r="X179" s="8"/>
      <c r="Y179" s="8"/>
      <c r="Z179" s="8"/>
    </row>
    <row r="180" spans="1:26" ht="14.25" customHeight="1" x14ac:dyDescent="0.3">
      <c r="A180" s="8"/>
      <c r="B180" s="8"/>
      <c r="C180" s="8"/>
      <c r="D180" s="8"/>
      <c r="E180" s="8"/>
      <c r="F180" s="8"/>
      <c r="G180" s="8"/>
      <c r="H180" s="8"/>
      <c r="I180" s="89"/>
      <c r="J180" s="8"/>
      <c r="K180" s="8"/>
      <c r="L180" s="8"/>
      <c r="M180" s="8"/>
      <c r="N180" s="8"/>
      <c r="O180" s="8"/>
      <c r="P180" s="8"/>
      <c r="Q180" s="8"/>
      <c r="R180" s="8"/>
      <c r="S180" s="8"/>
      <c r="T180" s="8"/>
      <c r="U180" s="8"/>
      <c r="V180" s="8"/>
      <c r="W180" s="8"/>
      <c r="X180" s="8"/>
      <c r="Y180" s="8"/>
      <c r="Z180" s="8"/>
    </row>
    <row r="181" spans="1:26" ht="14.25" customHeight="1" x14ac:dyDescent="0.3">
      <c r="A181" s="8"/>
      <c r="B181" s="8"/>
      <c r="C181" s="8"/>
      <c r="D181" s="8"/>
      <c r="E181" s="8"/>
      <c r="F181" s="8"/>
      <c r="G181" s="8"/>
      <c r="H181" s="8"/>
      <c r="I181" s="89"/>
      <c r="J181" s="8"/>
      <c r="K181" s="8"/>
      <c r="L181" s="8"/>
      <c r="M181" s="8"/>
      <c r="N181" s="8"/>
      <c r="O181" s="8"/>
      <c r="P181" s="8"/>
      <c r="Q181" s="8"/>
      <c r="R181" s="8"/>
      <c r="S181" s="8"/>
      <c r="T181" s="8"/>
      <c r="U181" s="8"/>
      <c r="V181" s="8"/>
      <c r="W181" s="8"/>
      <c r="X181" s="8"/>
      <c r="Y181" s="8"/>
      <c r="Z181" s="8"/>
    </row>
    <row r="182" spans="1:26" ht="14.25" customHeight="1" x14ac:dyDescent="0.3">
      <c r="A182" s="8"/>
      <c r="B182" s="8"/>
      <c r="C182" s="8"/>
      <c r="D182" s="8"/>
      <c r="E182" s="8"/>
      <c r="F182" s="8"/>
      <c r="G182" s="8"/>
      <c r="H182" s="8"/>
      <c r="I182" s="89"/>
      <c r="J182" s="8"/>
      <c r="K182" s="8"/>
      <c r="L182" s="8"/>
      <c r="M182" s="8"/>
      <c r="N182" s="8"/>
      <c r="O182" s="8"/>
      <c r="P182" s="8"/>
      <c r="Q182" s="8"/>
      <c r="R182" s="8"/>
      <c r="S182" s="8"/>
      <c r="T182" s="8"/>
      <c r="U182" s="8"/>
      <c r="V182" s="8"/>
      <c r="W182" s="8"/>
      <c r="X182" s="8"/>
      <c r="Y182" s="8"/>
      <c r="Z182" s="8"/>
    </row>
    <row r="183" spans="1:26" ht="14.25" customHeight="1" x14ac:dyDescent="0.3">
      <c r="A183" s="8"/>
      <c r="B183" s="8"/>
      <c r="C183" s="8"/>
      <c r="D183" s="8"/>
      <c r="E183" s="8"/>
      <c r="F183" s="8"/>
      <c r="G183" s="8"/>
      <c r="H183" s="8"/>
      <c r="I183" s="89"/>
      <c r="J183" s="8"/>
      <c r="K183" s="8"/>
      <c r="L183" s="8"/>
      <c r="M183" s="8"/>
      <c r="N183" s="8"/>
      <c r="O183" s="8"/>
      <c r="P183" s="8"/>
      <c r="Q183" s="8"/>
      <c r="R183" s="8"/>
      <c r="S183" s="8"/>
      <c r="T183" s="8"/>
      <c r="U183" s="8"/>
      <c r="V183" s="8"/>
      <c r="W183" s="8"/>
      <c r="X183" s="8"/>
      <c r="Y183" s="8"/>
      <c r="Z183" s="8"/>
    </row>
    <row r="184" spans="1:26" ht="14.25" customHeight="1" x14ac:dyDescent="0.3">
      <c r="A184" s="8"/>
      <c r="B184" s="8"/>
      <c r="C184" s="8"/>
      <c r="D184" s="8"/>
      <c r="E184" s="8"/>
      <c r="F184" s="8"/>
      <c r="G184" s="8"/>
      <c r="H184" s="8"/>
      <c r="I184" s="89"/>
      <c r="J184" s="8"/>
      <c r="K184" s="8"/>
      <c r="L184" s="8"/>
      <c r="M184" s="8"/>
      <c r="N184" s="8"/>
      <c r="O184" s="8"/>
      <c r="P184" s="8"/>
      <c r="Q184" s="8"/>
      <c r="R184" s="8"/>
      <c r="S184" s="8"/>
      <c r="T184" s="8"/>
      <c r="U184" s="8"/>
      <c r="V184" s="8"/>
      <c r="W184" s="8"/>
      <c r="X184" s="8"/>
      <c r="Y184" s="8"/>
      <c r="Z184" s="8"/>
    </row>
    <row r="185" spans="1:26" ht="14.25" customHeight="1" x14ac:dyDescent="0.3">
      <c r="A185" s="8"/>
      <c r="B185" s="8"/>
      <c r="C185" s="8"/>
      <c r="D185" s="8"/>
      <c r="E185" s="8"/>
      <c r="F185" s="8"/>
      <c r="G185" s="8"/>
      <c r="H185" s="8"/>
      <c r="I185" s="89"/>
      <c r="J185" s="8"/>
      <c r="K185" s="8"/>
      <c r="L185" s="8"/>
      <c r="M185" s="8"/>
      <c r="N185" s="8"/>
      <c r="O185" s="8"/>
      <c r="P185" s="8"/>
      <c r="Q185" s="8"/>
      <c r="R185" s="8"/>
      <c r="S185" s="8"/>
      <c r="T185" s="8"/>
      <c r="U185" s="8"/>
      <c r="V185" s="8"/>
      <c r="W185" s="8"/>
      <c r="X185" s="8"/>
      <c r="Y185" s="8"/>
      <c r="Z185" s="8"/>
    </row>
    <row r="186" spans="1:26" ht="14.25" customHeight="1" x14ac:dyDescent="0.3">
      <c r="A186" s="8"/>
      <c r="B186" s="8"/>
      <c r="C186" s="8"/>
      <c r="D186" s="8"/>
      <c r="E186" s="8"/>
      <c r="F186" s="8"/>
      <c r="G186" s="8"/>
      <c r="H186" s="8"/>
      <c r="I186" s="89"/>
      <c r="J186" s="8"/>
      <c r="K186" s="8"/>
      <c r="L186" s="8"/>
      <c r="M186" s="8"/>
      <c r="N186" s="8"/>
      <c r="O186" s="8"/>
      <c r="P186" s="8"/>
      <c r="Q186" s="8"/>
      <c r="R186" s="8"/>
      <c r="S186" s="8"/>
      <c r="T186" s="8"/>
      <c r="U186" s="8"/>
      <c r="V186" s="8"/>
      <c r="W186" s="8"/>
      <c r="X186" s="8"/>
      <c r="Y186" s="8"/>
      <c r="Z186" s="8"/>
    </row>
    <row r="187" spans="1:26" ht="14.25" customHeight="1" x14ac:dyDescent="0.3">
      <c r="A187" s="8"/>
      <c r="B187" s="8"/>
      <c r="C187" s="8"/>
      <c r="D187" s="8"/>
      <c r="E187" s="8"/>
      <c r="F187" s="8"/>
      <c r="G187" s="8"/>
      <c r="H187" s="8"/>
      <c r="I187" s="89"/>
      <c r="J187" s="8"/>
      <c r="K187" s="8"/>
      <c r="L187" s="8"/>
      <c r="M187" s="8"/>
      <c r="N187" s="8"/>
      <c r="O187" s="8"/>
      <c r="P187" s="8"/>
      <c r="Q187" s="8"/>
      <c r="R187" s="8"/>
      <c r="S187" s="8"/>
      <c r="T187" s="8"/>
      <c r="U187" s="8"/>
      <c r="V187" s="8"/>
      <c r="W187" s="8"/>
      <c r="X187" s="8"/>
      <c r="Y187" s="8"/>
      <c r="Z187" s="8"/>
    </row>
    <row r="188" spans="1:26" ht="14.25" customHeight="1" x14ac:dyDescent="0.3">
      <c r="A188" s="8"/>
      <c r="B188" s="8"/>
      <c r="C188" s="8"/>
      <c r="D188" s="8"/>
      <c r="E188" s="8"/>
      <c r="F188" s="8"/>
      <c r="G188" s="8"/>
      <c r="H188" s="8"/>
      <c r="I188" s="89"/>
      <c r="J188" s="8"/>
      <c r="K188" s="8"/>
      <c r="L188" s="8"/>
      <c r="M188" s="8"/>
      <c r="N188" s="8"/>
      <c r="O188" s="8"/>
      <c r="P188" s="8"/>
      <c r="Q188" s="8"/>
      <c r="R188" s="8"/>
      <c r="S188" s="8"/>
      <c r="T188" s="8"/>
      <c r="U188" s="8"/>
      <c r="V188" s="8"/>
      <c r="W188" s="8"/>
      <c r="X188" s="8"/>
      <c r="Y188" s="8"/>
      <c r="Z188" s="8"/>
    </row>
    <row r="189" spans="1:26" ht="14.25" customHeight="1" x14ac:dyDescent="0.3">
      <c r="A189" s="8"/>
      <c r="B189" s="8"/>
      <c r="C189" s="8"/>
      <c r="D189" s="8"/>
      <c r="E189" s="8"/>
      <c r="F189" s="8"/>
      <c r="G189" s="8"/>
      <c r="H189" s="8"/>
      <c r="I189" s="89"/>
      <c r="J189" s="8"/>
      <c r="K189" s="8"/>
      <c r="L189" s="8"/>
      <c r="M189" s="8"/>
      <c r="N189" s="8"/>
      <c r="O189" s="8"/>
      <c r="P189" s="8"/>
      <c r="Q189" s="8"/>
      <c r="R189" s="8"/>
      <c r="S189" s="8"/>
      <c r="T189" s="8"/>
      <c r="U189" s="8"/>
      <c r="V189" s="8"/>
      <c r="W189" s="8"/>
      <c r="X189" s="8"/>
      <c r="Y189" s="8"/>
      <c r="Z189" s="8"/>
    </row>
    <row r="190" spans="1:26" ht="14.25" customHeight="1" x14ac:dyDescent="0.3">
      <c r="A190" s="8"/>
      <c r="B190" s="8"/>
      <c r="C190" s="8"/>
      <c r="D190" s="8"/>
      <c r="E190" s="8"/>
      <c r="F190" s="8"/>
      <c r="G190" s="8"/>
      <c r="H190" s="8"/>
      <c r="I190" s="89"/>
      <c r="J190" s="8"/>
      <c r="K190" s="8"/>
      <c r="L190" s="8"/>
      <c r="M190" s="8"/>
      <c r="N190" s="8"/>
      <c r="O190" s="8"/>
      <c r="P190" s="8"/>
      <c r="Q190" s="8"/>
      <c r="R190" s="8"/>
      <c r="S190" s="8"/>
      <c r="T190" s="8"/>
      <c r="U190" s="8"/>
      <c r="V190" s="8"/>
      <c r="W190" s="8"/>
      <c r="X190" s="8"/>
      <c r="Y190" s="8"/>
      <c r="Z190" s="8"/>
    </row>
    <row r="191" spans="1:26" ht="14.25" customHeight="1" x14ac:dyDescent="0.3">
      <c r="A191" s="8"/>
      <c r="B191" s="8"/>
      <c r="C191" s="8"/>
      <c r="D191" s="8"/>
      <c r="E191" s="8"/>
      <c r="F191" s="8"/>
      <c r="G191" s="8"/>
      <c r="H191" s="8"/>
      <c r="I191" s="89"/>
      <c r="J191" s="8"/>
      <c r="K191" s="8"/>
      <c r="L191" s="8"/>
      <c r="M191" s="8"/>
      <c r="N191" s="8"/>
      <c r="O191" s="8"/>
      <c r="P191" s="8"/>
      <c r="Q191" s="8"/>
      <c r="R191" s="8"/>
      <c r="S191" s="8"/>
      <c r="T191" s="8"/>
      <c r="U191" s="8"/>
      <c r="V191" s="8"/>
      <c r="W191" s="8"/>
      <c r="X191" s="8"/>
      <c r="Y191" s="8"/>
      <c r="Z191" s="8"/>
    </row>
    <row r="192" spans="1:26" ht="14.25" customHeight="1" x14ac:dyDescent="0.3">
      <c r="A192" s="8"/>
      <c r="B192" s="8"/>
      <c r="C192" s="8"/>
      <c r="D192" s="8"/>
      <c r="E192" s="8"/>
      <c r="F192" s="8"/>
      <c r="G192" s="8"/>
      <c r="H192" s="8"/>
      <c r="I192" s="89"/>
      <c r="J192" s="8"/>
      <c r="K192" s="8"/>
      <c r="L192" s="8"/>
      <c r="M192" s="8"/>
      <c r="N192" s="8"/>
      <c r="O192" s="8"/>
      <c r="P192" s="8"/>
      <c r="Q192" s="8"/>
      <c r="R192" s="8"/>
      <c r="S192" s="8"/>
      <c r="T192" s="8"/>
      <c r="U192" s="8"/>
      <c r="V192" s="8"/>
      <c r="W192" s="8"/>
      <c r="X192" s="8"/>
      <c r="Y192" s="8"/>
      <c r="Z192" s="8"/>
    </row>
    <row r="193" spans="1:26" ht="14.25" customHeight="1" x14ac:dyDescent="0.3">
      <c r="A193" s="8"/>
      <c r="B193" s="8"/>
      <c r="C193" s="8"/>
      <c r="D193" s="8"/>
      <c r="E193" s="8"/>
      <c r="F193" s="8"/>
      <c r="G193" s="8"/>
      <c r="H193" s="8"/>
      <c r="I193" s="89"/>
      <c r="J193" s="8"/>
      <c r="K193" s="8"/>
      <c r="L193" s="8"/>
      <c r="M193" s="8"/>
      <c r="N193" s="8"/>
      <c r="O193" s="8"/>
      <c r="P193" s="8"/>
      <c r="Q193" s="8"/>
      <c r="R193" s="8"/>
      <c r="S193" s="8"/>
      <c r="T193" s="8"/>
      <c r="U193" s="8"/>
      <c r="V193" s="8"/>
      <c r="W193" s="8"/>
      <c r="X193" s="8"/>
      <c r="Y193" s="8"/>
      <c r="Z193" s="8"/>
    </row>
    <row r="194" spans="1:26" ht="14.25" customHeight="1" x14ac:dyDescent="0.3">
      <c r="A194" s="8"/>
      <c r="B194" s="8"/>
      <c r="C194" s="8"/>
      <c r="D194" s="8"/>
      <c r="E194" s="8"/>
      <c r="F194" s="8"/>
      <c r="G194" s="8"/>
      <c r="H194" s="8"/>
      <c r="I194" s="89"/>
      <c r="J194" s="8"/>
      <c r="K194" s="8"/>
      <c r="L194" s="8"/>
      <c r="M194" s="8"/>
      <c r="N194" s="8"/>
      <c r="O194" s="8"/>
      <c r="P194" s="8"/>
      <c r="Q194" s="8"/>
      <c r="R194" s="8"/>
      <c r="S194" s="8"/>
      <c r="T194" s="8"/>
      <c r="U194" s="8"/>
      <c r="V194" s="8"/>
      <c r="W194" s="8"/>
      <c r="X194" s="8"/>
      <c r="Y194" s="8"/>
      <c r="Z194" s="8"/>
    </row>
    <row r="195" spans="1:26" ht="14.25" customHeight="1" x14ac:dyDescent="0.3">
      <c r="A195" s="8"/>
      <c r="B195" s="8"/>
      <c r="C195" s="8"/>
      <c r="D195" s="8"/>
      <c r="E195" s="8"/>
      <c r="F195" s="8"/>
      <c r="G195" s="8"/>
      <c r="H195" s="8"/>
      <c r="I195" s="89"/>
      <c r="J195" s="8"/>
      <c r="K195" s="8"/>
      <c r="L195" s="8"/>
      <c r="M195" s="8"/>
      <c r="N195" s="8"/>
      <c r="O195" s="8"/>
      <c r="P195" s="8"/>
      <c r="Q195" s="8"/>
      <c r="R195" s="8"/>
      <c r="S195" s="8"/>
      <c r="T195" s="8"/>
      <c r="U195" s="8"/>
      <c r="V195" s="8"/>
      <c r="W195" s="8"/>
      <c r="X195" s="8"/>
      <c r="Y195" s="8"/>
      <c r="Z195" s="8"/>
    </row>
    <row r="196" spans="1:26" ht="14.25" customHeight="1" x14ac:dyDescent="0.3">
      <c r="A196" s="8"/>
      <c r="B196" s="8"/>
      <c r="C196" s="8"/>
      <c r="D196" s="8"/>
      <c r="E196" s="8"/>
      <c r="F196" s="8"/>
      <c r="G196" s="8"/>
      <c r="H196" s="8"/>
      <c r="I196" s="89"/>
      <c r="J196" s="8"/>
      <c r="K196" s="8"/>
      <c r="L196" s="8"/>
      <c r="M196" s="8"/>
      <c r="N196" s="8"/>
      <c r="O196" s="8"/>
      <c r="P196" s="8"/>
      <c r="Q196" s="8"/>
      <c r="R196" s="8"/>
      <c r="S196" s="8"/>
      <c r="T196" s="8"/>
      <c r="U196" s="8"/>
      <c r="V196" s="8"/>
      <c r="W196" s="8"/>
      <c r="X196" s="8"/>
      <c r="Y196" s="8"/>
      <c r="Z196" s="8"/>
    </row>
    <row r="197" spans="1:26" ht="14.25" customHeight="1" x14ac:dyDescent="0.3">
      <c r="A197" s="8"/>
      <c r="B197" s="8"/>
      <c r="C197" s="8"/>
      <c r="D197" s="8"/>
      <c r="E197" s="8"/>
      <c r="F197" s="8"/>
      <c r="G197" s="8"/>
      <c r="H197" s="8"/>
      <c r="I197" s="89"/>
      <c r="J197" s="8"/>
      <c r="K197" s="8"/>
      <c r="L197" s="8"/>
      <c r="M197" s="8"/>
      <c r="N197" s="8"/>
      <c r="O197" s="8"/>
      <c r="P197" s="8"/>
      <c r="Q197" s="8"/>
      <c r="R197" s="8"/>
      <c r="S197" s="8"/>
      <c r="T197" s="8"/>
      <c r="U197" s="8"/>
      <c r="V197" s="8"/>
      <c r="W197" s="8"/>
      <c r="X197" s="8"/>
      <c r="Y197" s="8"/>
      <c r="Z197" s="8"/>
    </row>
    <row r="198" spans="1:26" ht="14.25" customHeight="1" x14ac:dyDescent="0.3">
      <c r="A198" s="8"/>
      <c r="B198" s="8"/>
      <c r="C198" s="8"/>
      <c r="D198" s="8"/>
      <c r="E198" s="8"/>
      <c r="F198" s="8"/>
      <c r="G198" s="8"/>
      <c r="H198" s="8"/>
      <c r="I198" s="89"/>
      <c r="J198" s="8"/>
      <c r="K198" s="8"/>
      <c r="L198" s="8"/>
      <c r="M198" s="8"/>
      <c r="N198" s="8"/>
      <c r="O198" s="8"/>
      <c r="P198" s="8"/>
      <c r="Q198" s="8"/>
      <c r="R198" s="8"/>
      <c r="S198" s="8"/>
      <c r="T198" s="8"/>
      <c r="U198" s="8"/>
      <c r="V198" s="8"/>
      <c r="W198" s="8"/>
      <c r="X198" s="8"/>
      <c r="Y198" s="8"/>
      <c r="Z198" s="8"/>
    </row>
    <row r="199" spans="1:26" ht="14.25" customHeight="1" x14ac:dyDescent="0.3">
      <c r="A199" s="8"/>
      <c r="B199" s="8"/>
      <c r="C199" s="8"/>
      <c r="D199" s="8"/>
      <c r="E199" s="8"/>
      <c r="F199" s="8"/>
      <c r="G199" s="8"/>
      <c r="H199" s="8"/>
      <c r="I199" s="89"/>
      <c r="J199" s="8"/>
      <c r="K199" s="8"/>
      <c r="L199" s="8"/>
      <c r="M199" s="8"/>
      <c r="N199" s="8"/>
      <c r="O199" s="8"/>
      <c r="P199" s="8"/>
      <c r="Q199" s="8"/>
      <c r="R199" s="8"/>
      <c r="S199" s="8"/>
      <c r="T199" s="8"/>
      <c r="U199" s="8"/>
      <c r="V199" s="8"/>
      <c r="W199" s="8"/>
      <c r="X199" s="8"/>
      <c r="Y199" s="8"/>
      <c r="Z199" s="8"/>
    </row>
    <row r="200" spans="1:26" ht="14.25" customHeight="1" x14ac:dyDescent="0.3">
      <c r="A200" s="8"/>
      <c r="B200" s="8"/>
      <c r="C200" s="8"/>
      <c r="D200" s="8"/>
      <c r="E200" s="8"/>
      <c r="F200" s="8"/>
      <c r="G200" s="8"/>
      <c r="H200" s="8"/>
      <c r="I200" s="89"/>
      <c r="J200" s="8"/>
      <c r="K200" s="8"/>
      <c r="L200" s="8"/>
      <c r="M200" s="8"/>
      <c r="N200" s="8"/>
      <c r="O200" s="8"/>
      <c r="P200" s="8"/>
      <c r="Q200" s="8"/>
      <c r="R200" s="8"/>
      <c r="S200" s="8"/>
      <c r="T200" s="8"/>
      <c r="U200" s="8"/>
      <c r="V200" s="8"/>
      <c r="W200" s="8"/>
      <c r="X200" s="8"/>
      <c r="Y200" s="8"/>
      <c r="Z200" s="8"/>
    </row>
    <row r="201" spans="1:26" ht="12.75" customHeight="1" x14ac:dyDescent="0.3">
      <c r="A201" s="8"/>
      <c r="B201" s="8"/>
      <c r="C201" s="8"/>
      <c r="D201" s="8"/>
      <c r="E201" s="8"/>
      <c r="F201" s="8"/>
      <c r="G201" s="8"/>
      <c r="H201" s="8"/>
      <c r="I201" s="89"/>
      <c r="J201" s="8"/>
      <c r="K201" s="8"/>
      <c r="L201" s="8"/>
      <c r="M201" s="8"/>
      <c r="N201" s="8"/>
      <c r="O201" s="8"/>
      <c r="P201" s="8"/>
      <c r="Q201" s="8"/>
      <c r="R201" s="8"/>
      <c r="S201" s="8"/>
      <c r="T201" s="8"/>
      <c r="U201" s="8"/>
      <c r="V201" s="8"/>
      <c r="W201" s="8"/>
      <c r="X201" s="8"/>
      <c r="Y201" s="8"/>
      <c r="Z201" s="8"/>
    </row>
    <row r="202" spans="1:26" ht="12.75" customHeight="1" x14ac:dyDescent="0.3">
      <c r="A202" s="8"/>
      <c r="B202" s="8"/>
      <c r="C202" s="8"/>
      <c r="D202" s="8"/>
      <c r="E202" s="8"/>
      <c r="F202" s="8"/>
      <c r="G202" s="8"/>
      <c r="H202" s="8"/>
      <c r="I202" s="89"/>
      <c r="J202" s="8"/>
      <c r="K202" s="8"/>
      <c r="L202" s="8"/>
      <c r="M202" s="8"/>
      <c r="N202" s="8"/>
      <c r="O202" s="8"/>
      <c r="P202" s="8"/>
      <c r="Q202" s="8"/>
      <c r="R202" s="8"/>
      <c r="S202" s="8"/>
      <c r="T202" s="8"/>
      <c r="U202" s="8"/>
      <c r="V202" s="8"/>
      <c r="W202" s="8"/>
      <c r="X202" s="8"/>
      <c r="Y202" s="8"/>
      <c r="Z202" s="8"/>
    </row>
    <row r="203" spans="1:26" ht="12.75" customHeight="1" x14ac:dyDescent="0.3">
      <c r="A203" s="8"/>
      <c r="B203" s="8"/>
      <c r="C203" s="8"/>
      <c r="D203" s="8"/>
      <c r="E203" s="8"/>
      <c r="F203" s="8"/>
      <c r="G203" s="8"/>
      <c r="H203" s="8"/>
      <c r="I203" s="89"/>
      <c r="J203" s="8"/>
      <c r="K203" s="8"/>
      <c r="L203" s="8"/>
      <c r="M203" s="8"/>
      <c r="N203" s="8"/>
      <c r="O203" s="8"/>
      <c r="P203" s="8"/>
      <c r="Q203" s="8"/>
      <c r="R203" s="8"/>
      <c r="S203" s="8"/>
      <c r="T203" s="8"/>
      <c r="U203" s="8"/>
      <c r="V203" s="8"/>
      <c r="W203" s="8"/>
      <c r="X203" s="8"/>
      <c r="Y203" s="8"/>
      <c r="Z203" s="8"/>
    </row>
    <row r="204" spans="1:26" ht="12.75" customHeight="1" x14ac:dyDescent="0.3">
      <c r="A204" s="8"/>
      <c r="B204" s="8"/>
      <c r="C204" s="8"/>
      <c r="D204" s="8"/>
      <c r="E204" s="8"/>
      <c r="F204" s="8"/>
      <c r="G204" s="8"/>
      <c r="H204" s="8"/>
      <c r="I204" s="89"/>
      <c r="J204" s="8"/>
      <c r="K204" s="8"/>
      <c r="L204" s="8"/>
      <c r="M204" s="8"/>
      <c r="N204" s="8"/>
      <c r="O204" s="8"/>
      <c r="P204" s="8"/>
      <c r="Q204" s="8"/>
      <c r="R204" s="8"/>
      <c r="S204" s="8"/>
      <c r="T204" s="8"/>
      <c r="U204" s="8"/>
      <c r="V204" s="8"/>
      <c r="W204" s="8"/>
      <c r="X204" s="8"/>
      <c r="Y204" s="8"/>
      <c r="Z204" s="8"/>
    </row>
    <row r="205" spans="1:26" ht="12.75" customHeight="1" x14ac:dyDescent="0.3">
      <c r="A205" s="8"/>
      <c r="B205" s="8"/>
      <c r="C205" s="8"/>
      <c r="D205" s="8"/>
      <c r="E205" s="8"/>
      <c r="F205" s="8"/>
      <c r="G205" s="8"/>
      <c r="H205" s="8"/>
      <c r="I205" s="89"/>
      <c r="J205" s="8"/>
      <c r="K205" s="8"/>
      <c r="L205" s="8"/>
      <c r="M205" s="8"/>
      <c r="N205" s="8"/>
      <c r="O205" s="8"/>
      <c r="P205" s="8"/>
      <c r="Q205" s="8"/>
      <c r="R205" s="8"/>
      <c r="S205" s="8"/>
      <c r="T205" s="8"/>
      <c r="U205" s="8"/>
      <c r="V205" s="8"/>
      <c r="W205" s="8"/>
      <c r="X205" s="8"/>
      <c r="Y205" s="8"/>
      <c r="Z205" s="8"/>
    </row>
    <row r="206" spans="1:26" ht="12.75" customHeight="1" x14ac:dyDescent="0.3">
      <c r="A206" s="8"/>
      <c r="B206" s="8"/>
      <c r="C206" s="8"/>
      <c r="D206" s="8"/>
      <c r="E206" s="8"/>
      <c r="F206" s="8"/>
      <c r="G206" s="8"/>
      <c r="H206" s="8"/>
      <c r="I206" s="89"/>
      <c r="J206" s="8"/>
      <c r="K206" s="8"/>
      <c r="L206" s="8"/>
      <c r="M206" s="8"/>
      <c r="N206" s="8"/>
      <c r="O206" s="8"/>
      <c r="P206" s="8"/>
      <c r="Q206" s="8"/>
      <c r="R206" s="8"/>
      <c r="S206" s="8"/>
      <c r="T206" s="8"/>
      <c r="U206" s="8"/>
      <c r="V206" s="8"/>
      <c r="W206" s="8"/>
      <c r="X206" s="8"/>
      <c r="Y206" s="8"/>
      <c r="Z206" s="8"/>
    </row>
    <row r="207" spans="1:26" ht="12.75" customHeight="1" x14ac:dyDescent="0.3">
      <c r="A207" s="8"/>
      <c r="B207" s="8"/>
      <c r="C207" s="8"/>
      <c r="D207" s="8"/>
      <c r="E207" s="8"/>
      <c r="F207" s="8"/>
      <c r="G207" s="8"/>
      <c r="H207" s="8"/>
      <c r="I207" s="89"/>
      <c r="J207" s="8"/>
      <c r="K207" s="8"/>
      <c r="L207" s="8"/>
      <c r="M207" s="8"/>
      <c r="N207" s="8"/>
      <c r="O207" s="8"/>
      <c r="P207" s="8"/>
      <c r="Q207" s="8"/>
      <c r="R207" s="8"/>
      <c r="S207" s="8"/>
      <c r="T207" s="8"/>
      <c r="U207" s="8"/>
      <c r="V207" s="8"/>
      <c r="W207" s="8"/>
      <c r="X207" s="8"/>
      <c r="Y207" s="8"/>
      <c r="Z207" s="8"/>
    </row>
    <row r="208" spans="1:26" ht="12.75" customHeight="1" x14ac:dyDescent="0.3">
      <c r="A208" s="8"/>
      <c r="B208" s="8"/>
      <c r="C208" s="8"/>
      <c r="D208" s="8"/>
      <c r="E208" s="8"/>
      <c r="F208" s="8"/>
      <c r="G208" s="8"/>
      <c r="H208" s="8"/>
      <c r="I208" s="89"/>
      <c r="J208" s="8"/>
      <c r="K208" s="8"/>
      <c r="L208" s="8"/>
      <c r="M208" s="8"/>
      <c r="N208" s="8"/>
      <c r="O208" s="8"/>
      <c r="P208" s="8"/>
      <c r="Q208" s="8"/>
      <c r="R208" s="8"/>
      <c r="S208" s="8"/>
      <c r="T208" s="8"/>
      <c r="U208" s="8"/>
      <c r="V208" s="8"/>
      <c r="W208" s="8"/>
      <c r="X208" s="8"/>
      <c r="Y208" s="8"/>
      <c r="Z208" s="8"/>
    </row>
    <row r="209" spans="1:26" ht="12.75" customHeight="1" x14ac:dyDescent="0.3">
      <c r="A209" s="8"/>
      <c r="B209" s="8"/>
      <c r="C209" s="8"/>
      <c r="D209" s="8"/>
      <c r="E209" s="8"/>
      <c r="F209" s="8"/>
      <c r="G209" s="8"/>
      <c r="H209" s="8"/>
      <c r="I209" s="89"/>
      <c r="J209" s="8"/>
      <c r="K209" s="8"/>
      <c r="L209" s="8"/>
      <c r="M209" s="8"/>
      <c r="N209" s="8"/>
      <c r="O209" s="8"/>
      <c r="P209" s="8"/>
      <c r="Q209" s="8"/>
      <c r="R209" s="8"/>
      <c r="S209" s="8"/>
      <c r="T209" s="8"/>
      <c r="U209" s="8"/>
      <c r="V209" s="8"/>
      <c r="W209" s="8"/>
      <c r="X209" s="8"/>
      <c r="Y209" s="8"/>
      <c r="Z209" s="8"/>
    </row>
    <row r="210" spans="1:26" ht="12.75" customHeight="1" x14ac:dyDescent="0.3">
      <c r="A210" s="8"/>
      <c r="B210" s="8"/>
      <c r="C210" s="8"/>
      <c r="D210" s="8"/>
      <c r="E210" s="8"/>
      <c r="F210" s="8"/>
      <c r="G210" s="8"/>
      <c r="H210" s="8"/>
      <c r="I210" s="89"/>
      <c r="J210" s="8"/>
      <c r="K210" s="8"/>
      <c r="L210" s="8"/>
      <c r="M210" s="8"/>
      <c r="N210" s="8"/>
      <c r="O210" s="8"/>
      <c r="P210" s="8"/>
      <c r="Q210" s="8"/>
      <c r="R210" s="8"/>
      <c r="S210" s="8"/>
      <c r="T210" s="8"/>
      <c r="U210" s="8"/>
      <c r="V210" s="8"/>
      <c r="W210" s="8"/>
      <c r="X210" s="8"/>
      <c r="Y210" s="8"/>
      <c r="Z210" s="8"/>
    </row>
    <row r="211" spans="1:26" ht="12.75" customHeight="1" x14ac:dyDescent="0.3">
      <c r="A211" s="8"/>
      <c r="B211" s="8"/>
      <c r="C211" s="8"/>
      <c r="D211" s="8"/>
      <c r="E211" s="8"/>
      <c r="F211" s="8"/>
      <c r="G211" s="8"/>
      <c r="H211" s="8"/>
      <c r="I211" s="89"/>
      <c r="J211" s="8"/>
      <c r="K211" s="8"/>
      <c r="L211" s="8"/>
      <c r="M211" s="8"/>
      <c r="N211" s="8"/>
      <c r="O211" s="8"/>
      <c r="P211" s="8"/>
      <c r="Q211" s="8"/>
      <c r="R211" s="8"/>
      <c r="S211" s="8"/>
      <c r="T211" s="8"/>
      <c r="U211" s="8"/>
      <c r="V211" s="8"/>
      <c r="W211" s="8"/>
      <c r="X211" s="8"/>
      <c r="Y211" s="8"/>
      <c r="Z211" s="8"/>
    </row>
    <row r="212" spans="1:26" ht="12.75" customHeight="1" x14ac:dyDescent="0.3">
      <c r="A212" s="8"/>
      <c r="B212" s="8"/>
      <c r="C212" s="8"/>
      <c r="D212" s="8"/>
      <c r="E212" s="8"/>
      <c r="F212" s="8"/>
      <c r="G212" s="8"/>
      <c r="H212" s="8"/>
      <c r="I212" s="89"/>
      <c r="J212" s="8"/>
      <c r="K212" s="8"/>
      <c r="L212" s="8"/>
      <c r="M212" s="8"/>
      <c r="N212" s="8"/>
      <c r="O212" s="8"/>
      <c r="P212" s="8"/>
      <c r="Q212" s="8"/>
      <c r="R212" s="8"/>
      <c r="S212" s="8"/>
      <c r="T212" s="8"/>
      <c r="U212" s="8"/>
      <c r="V212" s="8"/>
      <c r="W212" s="8"/>
      <c r="X212" s="8"/>
      <c r="Y212" s="8"/>
      <c r="Z212" s="8"/>
    </row>
    <row r="213" spans="1:26" ht="12.75" customHeight="1" x14ac:dyDescent="0.3">
      <c r="A213" s="8"/>
      <c r="B213" s="8"/>
      <c r="C213" s="8"/>
      <c r="D213" s="8"/>
      <c r="E213" s="8"/>
      <c r="F213" s="8"/>
      <c r="G213" s="8"/>
      <c r="H213" s="8"/>
      <c r="I213" s="89"/>
      <c r="J213" s="8"/>
      <c r="K213" s="8"/>
      <c r="L213" s="8"/>
      <c r="M213" s="8"/>
      <c r="N213" s="8"/>
      <c r="O213" s="8"/>
      <c r="P213" s="8"/>
      <c r="Q213" s="8"/>
      <c r="R213" s="8"/>
      <c r="S213" s="8"/>
      <c r="T213" s="8"/>
      <c r="U213" s="8"/>
      <c r="V213" s="8"/>
      <c r="W213" s="8"/>
      <c r="X213" s="8"/>
      <c r="Y213" s="8"/>
      <c r="Z213" s="8"/>
    </row>
    <row r="214" spans="1:26" ht="12.75" customHeight="1" x14ac:dyDescent="0.3">
      <c r="A214" s="8"/>
      <c r="B214" s="8"/>
      <c r="C214" s="8"/>
      <c r="D214" s="8"/>
      <c r="E214" s="8"/>
      <c r="F214" s="8"/>
      <c r="G214" s="8"/>
      <c r="H214" s="8"/>
      <c r="I214" s="89"/>
      <c r="J214" s="8"/>
      <c r="K214" s="8"/>
      <c r="L214" s="8"/>
      <c r="M214" s="8"/>
      <c r="N214" s="8"/>
      <c r="O214" s="8"/>
      <c r="P214" s="8"/>
      <c r="Q214" s="8"/>
      <c r="R214" s="8"/>
      <c r="S214" s="8"/>
      <c r="T214" s="8"/>
      <c r="U214" s="8"/>
      <c r="V214" s="8"/>
      <c r="W214" s="8"/>
      <c r="X214" s="8"/>
      <c r="Y214" s="8"/>
      <c r="Z214" s="8"/>
    </row>
    <row r="215" spans="1:26" ht="12.75" customHeight="1" x14ac:dyDescent="0.3">
      <c r="A215" s="8"/>
      <c r="B215" s="8"/>
      <c r="C215" s="8"/>
      <c r="D215" s="8"/>
      <c r="E215" s="8"/>
      <c r="F215" s="8"/>
      <c r="G215" s="8"/>
      <c r="H215" s="8"/>
      <c r="I215" s="89"/>
      <c r="J215" s="8"/>
      <c r="K215" s="8"/>
      <c r="L215" s="8"/>
      <c r="M215" s="8"/>
      <c r="N215" s="8"/>
      <c r="O215" s="8"/>
      <c r="P215" s="8"/>
      <c r="Q215" s="8"/>
      <c r="R215" s="8"/>
      <c r="S215" s="8"/>
      <c r="T215" s="8"/>
      <c r="U215" s="8"/>
      <c r="V215" s="8"/>
      <c r="W215" s="8"/>
      <c r="X215" s="8"/>
      <c r="Y215" s="8"/>
      <c r="Z215" s="8"/>
    </row>
    <row r="216" spans="1:26" ht="12.75" customHeight="1" x14ac:dyDescent="0.3">
      <c r="A216" s="8"/>
      <c r="B216" s="8"/>
      <c r="C216" s="8"/>
      <c r="D216" s="8"/>
      <c r="E216" s="8"/>
      <c r="F216" s="8"/>
      <c r="G216" s="8"/>
      <c r="H216" s="8"/>
      <c r="I216" s="89"/>
      <c r="J216" s="8"/>
      <c r="K216" s="8"/>
      <c r="L216" s="8"/>
      <c r="M216" s="8"/>
      <c r="N216" s="8"/>
      <c r="O216" s="8"/>
      <c r="P216" s="8"/>
      <c r="Q216" s="8"/>
      <c r="R216" s="8"/>
      <c r="S216" s="8"/>
      <c r="T216" s="8"/>
      <c r="U216" s="8"/>
      <c r="V216" s="8"/>
      <c r="W216" s="8"/>
      <c r="X216" s="8"/>
      <c r="Y216" s="8"/>
      <c r="Z216" s="8"/>
    </row>
    <row r="217" spans="1:26" ht="12.75" customHeight="1" x14ac:dyDescent="0.3">
      <c r="A217" s="8"/>
      <c r="B217" s="8"/>
      <c r="C217" s="8"/>
      <c r="D217" s="8"/>
      <c r="E217" s="8"/>
      <c r="F217" s="8"/>
      <c r="G217" s="8"/>
      <c r="H217" s="8"/>
      <c r="I217" s="89"/>
      <c r="J217" s="8"/>
      <c r="K217" s="8"/>
      <c r="L217" s="8"/>
      <c r="M217" s="8"/>
      <c r="N217" s="8"/>
      <c r="O217" s="8"/>
      <c r="P217" s="8"/>
      <c r="Q217" s="8"/>
      <c r="R217" s="8"/>
      <c r="S217" s="8"/>
      <c r="T217" s="8"/>
      <c r="U217" s="8"/>
      <c r="V217" s="8"/>
      <c r="W217" s="8"/>
      <c r="X217" s="8"/>
      <c r="Y217" s="8"/>
      <c r="Z217" s="8"/>
    </row>
    <row r="218" spans="1:26" ht="12.75" customHeight="1" x14ac:dyDescent="0.3">
      <c r="A218" s="8"/>
      <c r="B218" s="8"/>
      <c r="C218" s="8"/>
      <c r="D218" s="8"/>
      <c r="E218" s="8"/>
      <c r="F218" s="8"/>
      <c r="G218" s="8"/>
      <c r="H218" s="8"/>
      <c r="I218" s="89"/>
      <c r="J218" s="8"/>
      <c r="K218" s="8"/>
      <c r="L218" s="8"/>
      <c r="M218" s="8"/>
      <c r="N218" s="8"/>
      <c r="O218" s="8"/>
      <c r="P218" s="8"/>
      <c r="Q218" s="8"/>
      <c r="R218" s="8"/>
      <c r="S218" s="8"/>
      <c r="T218" s="8"/>
      <c r="U218" s="8"/>
      <c r="V218" s="8"/>
      <c r="W218" s="8"/>
      <c r="X218" s="8"/>
      <c r="Y218" s="8"/>
      <c r="Z218" s="8"/>
    </row>
    <row r="219" spans="1:26" ht="12.75" customHeight="1" x14ac:dyDescent="0.3">
      <c r="A219" s="8"/>
      <c r="B219" s="8"/>
      <c r="C219" s="8"/>
      <c r="D219" s="8"/>
      <c r="E219" s="8"/>
      <c r="F219" s="8"/>
      <c r="G219" s="8"/>
      <c r="H219" s="8"/>
      <c r="I219" s="89"/>
      <c r="J219" s="8"/>
      <c r="K219" s="8"/>
      <c r="L219" s="8"/>
      <c r="M219" s="8"/>
      <c r="N219" s="8"/>
      <c r="O219" s="8"/>
      <c r="P219" s="8"/>
      <c r="Q219" s="8"/>
      <c r="R219" s="8"/>
      <c r="S219" s="8"/>
      <c r="T219" s="8"/>
      <c r="U219" s="8"/>
      <c r="V219" s="8"/>
      <c r="W219" s="8"/>
      <c r="X219" s="8"/>
      <c r="Y219" s="8"/>
      <c r="Z219" s="8"/>
    </row>
    <row r="220" spans="1:26" ht="12.75" customHeight="1" x14ac:dyDescent="0.3">
      <c r="A220" s="8"/>
      <c r="B220" s="8"/>
      <c r="C220" s="8"/>
      <c r="D220" s="8"/>
      <c r="E220" s="8"/>
      <c r="F220" s="8"/>
      <c r="G220" s="8"/>
      <c r="H220" s="8"/>
      <c r="I220" s="89"/>
      <c r="J220" s="8"/>
      <c r="K220" s="8"/>
      <c r="L220" s="8"/>
      <c r="M220" s="8"/>
      <c r="N220" s="8"/>
      <c r="O220" s="8"/>
      <c r="P220" s="8"/>
      <c r="Q220" s="8"/>
      <c r="R220" s="8"/>
      <c r="S220" s="8"/>
      <c r="T220" s="8"/>
      <c r="U220" s="8"/>
      <c r="V220" s="8"/>
      <c r="W220" s="8"/>
      <c r="X220" s="8"/>
      <c r="Y220" s="8"/>
      <c r="Z220" s="8"/>
    </row>
    <row r="221" spans="1:26" ht="12.75" customHeight="1" x14ac:dyDescent="0.3">
      <c r="A221" s="8"/>
      <c r="B221" s="8"/>
      <c r="C221" s="8"/>
      <c r="D221" s="8"/>
      <c r="E221" s="8"/>
      <c r="F221" s="8"/>
      <c r="G221" s="8"/>
      <c r="H221" s="8"/>
      <c r="I221" s="89"/>
      <c r="J221" s="8"/>
      <c r="K221" s="8"/>
      <c r="L221" s="8"/>
      <c r="M221" s="8"/>
      <c r="N221" s="8"/>
      <c r="O221" s="8"/>
      <c r="P221" s="8"/>
      <c r="Q221" s="8"/>
      <c r="R221" s="8"/>
      <c r="S221" s="8"/>
      <c r="T221" s="8"/>
      <c r="U221" s="8"/>
      <c r="V221" s="8"/>
      <c r="W221" s="8"/>
      <c r="X221" s="8"/>
      <c r="Y221" s="8"/>
      <c r="Z221" s="8"/>
    </row>
    <row r="222" spans="1:26" ht="12.75" customHeight="1" x14ac:dyDescent="0.3">
      <c r="A222" s="8"/>
      <c r="B222" s="8"/>
      <c r="C222" s="8"/>
      <c r="D222" s="8"/>
      <c r="E222" s="8"/>
      <c r="F222" s="8"/>
      <c r="G222" s="8"/>
      <c r="H222" s="8"/>
      <c r="I222" s="89"/>
      <c r="J222" s="8"/>
      <c r="K222" s="8"/>
      <c r="L222" s="8"/>
      <c r="M222" s="8"/>
      <c r="N222" s="8"/>
      <c r="O222" s="8"/>
      <c r="P222" s="8"/>
      <c r="Q222" s="8"/>
      <c r="R222" s="8"/>
      <c r="S222" s="8"/>
      <c r="T222" s="8"/>
      <c r="U222" s="8"/>
      <c r="V222" s="8"/>
      <c r="W222" s="8"/>
      <c r="X222" s="8"/>
      <c r="Y222" s="8"/>
      <c r="Z222" s="8"/>
    </row>
    <row r="223" spans="1:26" ht="12.75" customHeight="1" x14ac:dyDescent="0.3">
      <c r="A223" s="8"/>
      <c r="B223" s="8"/>
      <c r="C223" s="8"/>
      <c r="D223" s="8"/>
      <c r="E223" s="8"/>
      <c r="F223" s="8"/>
      <c r="G223" s="8"/>
      <c r="H223" s="8"/>
      <c r="I223" s="89"/>
      <c r="J223" s="8"/>
      <c r="K223" s="8"/>
      <c r="L223" s="8"/>
      <c r="M223" s="8"/>
      <c r="N223" s="8"/>
      <c r="O223" s="8"/>
      <c r="P223" s="8"/>
      <c r="Q223" s="8"/>
      <c r="R223" s="8"/>
      <c r="S223" s="8"/>
      <c r="T223" s="8"/>
      <c r="U223" s="8"/>
      <c r="V223" s="8"/>
      <c r="W223" s="8"/>
      <c r="X223" s="8"/>
      <c r="Y223" s="8"/>
      <c r="Z223" s="8"/>
    </row>
    <row r="224" spans="1:26" ht="12.75" customHeight="1" x14ac:dyDescent="0.3">
      <c r="A224" s="8"/>
      <c r="B224" s="8"/>
      <c r="C224" s="8"/>
      <c r="D224" s="8"/>
      <c r="E224" s="8"/>
      <c r="F224" s="8"/>
      <c r="G224" s="8"/>
      <c r="H224" s="8"/>
      <c r="I224" s="89"/>
      <c r="J224" s="8"/>
      <c r="K224" s="8"/>
      <c r="L224" s="8"/>
      <c r="M224" s="8"/>
      <c r="N224" s="8"/>
      <c r="O224" s="8"/>
      <c r="P224" s="8"/>
      <c r="Q224" s="8"/>
      <c r="R224" s="8"/>
      <c r="S224" s="8"/>
      <c r="T224" s="8"/>
      <c r="U224" s="8"/>
      <c r="V224" s="8"/>
      <c r="W224" s="8"/>
      <c r="X224" s="8"/>
      <c r="Y224" s="8"/>
      <c r="Z224" s="8"/>
    </row>
    <row r="225" spans="1:26" ht="12.75" customHeight="1" x14ac:dyDescent="0.3">
      <c r="A225" s="8"/>
      <c r="B225" s="8"/>
      <c r="C225" s="8"/>
      <c r="D225" s="8"/>
      <c r="E225" s="8"/>
      <c r="F225" s="8"/>
      <c r="G225" s="8"/>
      <c r="H225" s="8"/>
      <c r="I225" s="89"/>
      <c r="J225" s="8"/>
      <c r="K225" s="8"/>
      <c r="L225" s="8"/>
      <c r="M225" s="8"/>
      <c r="N225" s="8"/>
      <c r="O225" s="8"/>
      <c r="P225" s="8"/>
      <c r="Q225" s="8"/>
      <c r="R225" s="8"/>
      <c r="S225" s="8"/>
      <c r="T225" s="8"/>
      <c r="U225" s="8"/>
      <c r="V225" s="8"/>
      <c r="W225" s="8"/>
      <c r="X225" s="8"/>
      <c r="Y225" s="8"/>
      <c r="Z225" s="8"/>
    </row>
    <row r="226" spans="1:26" ht="12.75" customHeight="1" x14ac:dyDescent="0.3">
      <c r="A226" s="8"/>
      <c r="B226" s="8"/>
      <c r="C226" s="8"/>
      <c r="D226" s="8"/>
      <c r="E226" s="8"/>
      <c r="F226" s="8"/>
      <c r="G226" s="8"/>
      <c r="H226" s="8"/>
      <c r="I226" s="89"/>
      <c r="J226" s="8"/>
      <c r="K226" s="8"/>
      <c r="L226" s="8"/>
      <c r="M226" s="8"/>
      <c r="N226" s="8"/>
      <c r="O226" s="8"/>
      <c r="P226" s="8"/>
      <c r="Q226" s="8"/>
      <c r="R226" s="8"/>
      <c r="S226" s="8"/>
      <c r="T226" s="8"/>
      <c r="U226" s="8"/>
      <c r="V226" s="8"/>
      <c r="W226" s="8"/>
      <c r="X226" s="8"/>
      <c r="Y226" s="8"/>
      <c r="Z226" s="8"/>
    </row>
    <row r="227" spans="1:26" ht="12.75" customHeight="1" x14ac:dyDescent="0.3">
      <c r="A227" s="8"/>
      <c r="B227" s="8"/>
      <c r="C227" s="8"/>
      <c r="D227" s="8"/>
      <c r="E227" s="8"/>
      <c r="F227" s="8"/>
      <c r="G227" s="8"/>
      <c r="H227" s="8"/>
      <c r="I227" s="89"/>
      <c r="J227" s="8"/>
      <c r="K227" s="8"/>
      <c r="L227" s="8"/>
      <c r="M227" s="8"/>
      <c r="N227" s="8"/>
      <c r="O227" s="8"/>
      <c r="P227" s="8"/>
      <c r="Q227" s="8"/>
      <c r="R227" s="8"/>
      <c r="S227" s="8"/>
      <c r="T227" s="8"/>
      <c r="U227" s="8"/>
      <c r="V227" s="8"/>
      <c r="W227" s="8"/>
      <c r="X227" s="8"/>
      <c r="Y227" s="8"/>
      <c r="Z227" s="8"/>
    </row>
    <row r="228" spans="1:26" ht="12.75" customHeight="1" x14ac:dyDescent="0.3">
      <c r="A228" s="8"/>
      <c r="B228" s="8"/>
      <c r="C228" s="8"/>
      <c r="D228" s="8"/>
      <c r="E228" s="8"/>
      <c r="F228" s="8"/>
      <c r="G228" s="8"/>
      <c r="H228" s="8"/>
      <c r="I228" s="89"/>
      <c r="J228" s="8"/>
      <c r="K228" s="8"/>
      <c r="L228" s="8"/>
      <c r="M228" s="8"/>
      <c r="N228" s="8"/>
      <c r="O228" s="8"/>
      <c r="P228" s="8"/>
      <c r="Q228" s="8"/>
      <c r="R228" s="8"/>
      <c r="S228" s="8"/>
      <c r="T228" s="8"/>
      <c r="U228" s="8"/>
      <c r="V228" s="8"/>
      <c r="W228" s="8"/>
      <c r="X228" s="8"/>
      <c r="Y228" s="8"/>
      <c r="Z228" s="8"/>
    </row>
    <row r="229" spans="1:26" ht="12.75" customHeight="1" x14ac:dyDescent="0.3">
      <c r="A229" s="8"/>
      <c r="B229" s="8"/>
      <c r="C229" s="8"/>
      <c r="D229" s="8"/>
      <c r="E229" s="8"/>
      <c r="F229" s="8"/>
      <c r="G229" s="8"/>
      <c r="H229" s="8"/>
      <c r="I229" s="89"/>
      <c r="J229" s="8"/>
      <c r="K229" s="8"/>
      <c r="L229" s="8"/>
      <c r="M229" s="8"/>
      <c r="N229" s="8"/>
      <c r="O229" s="8"/>
      <c r="P229" s="8"/>
      <c r="Q229" s="8"/>
      <c r="R229" s="8"/>
      <c r="S229" s="8"/>
      <c r="T229" s="8"/>
      <c r="U229" s="8"/>
      <c r="V229" s="8"/>
      <c r="W229" s="8"/>
      <c r="X229" s="8"/>
      <c r="Y229" s="8"/>
      <c r="Z229" s="8"/>
    </row>
    <row r="230" spans="1:26" ht="12.75" customHeight="1" x14ac:dyDescent="0.3">
      <c r="A230" s="8"/>
      <c r="B230" s="8"/>
      <c r="C230" s="8"/>
      <c r="D230" s="8"/>
      <c r="E230" s="8"/>
      <c r="F230" s="8"/>
      <c r="G230" s="8"/>
      <c r="H230" s="8"/>
      <c r="I230" s="89"/>
      <c r="J230" s="8"/>
      <c r="K230" s="8"/>
      <c r="L230" s="8"/>
      <c r="M230" s="8"/>
      <c r="N230" s="8"/>
      <c r="O230" s="8"/>
      <c r="P230" s="8"/>
      <c r="Q230" s="8"/>
      <c r="R230" s="8"/>
      <c r="S230" s="8"/>
      <c r="T230" s="8"/>
      <c r="U230" s="8"/>
      <c r="V230" s="8"/>
      <c r="W230" s="8"/>
      <c r="X230" s="8"/>
      <c r="Y230" s="8"/>
      <c r="Z230" s="8"/>
    </row>
    <row r="231" spans="1:26" ht="12.75" customHeight="1" x14ac:dyDescent="0.3">
      <c r="A231" s="8"/>
      <c r="B231" s="8"/>
      <c r="C231" s="8"/>
      <c r="D231" s="8"/>
      <c r="E231" s="8"/>
      <c r="F231" s="8"/>
      <c r="G231" s="8"/>
      <c r="H231" s="8"/>
      <c r="I231" s="89"/>
      <c r="J231" s="8"/>
      <c r="K231" s="8"/>
      <c r="L231" s="8"/>
      <c r="M231" s="8"/>
      <c r="N231" s="8"/>
      <c r="O231" s="8"/>
      <c r="P231" s="8"/>
      <c r="Q231" s="8"/>
      <c r="R231" s="8"/>
      <c r="S231" s="8"/>
      <c r="T231" s="8"/>
      <c r="U231" s="8"/>
      <c r="V231" s="8"/>
      <c r="W231" s="8"/>
      <c r="X231" s="8"/>
      <c r="Y231" s="8"/>
      <c r="Z231" s="8"/>
    </row>
    <row r="232" spans="1:26" ht="12.75" customHeight="1" x14ac:dyDescent="0.3">
      <c r="A232" s="8"/>
      <c r="B232" s="8"/>
      <c r="C232" s="8"/>
      <c r="D232" s="8"/>
      <c r="E232" s="8"/>
      <c r="F232" s="8"/>
      <c r="G232" s="8"/>
      <c r="H232" s="8"/>
      <c r="I232" s="89"/>
      <c r="J232" s="8"/>
      <c r="K232" s="8"/>
      <c r="L232" s="8"/>
      <c r="M232" s="8"/>
      <c r="N232" s="8"/>
      <c r="O232" s="8"/>
      <c r="P232" s="8"/>
      <c r="Q232" s="8"/>
      <c r="R232" s="8"/>
      <c r="S232" s="8"/>
      <c r="T232" s="8"/>
      <c r="U232" s="8"/>
      <c r="V232" s="8"/>
      <c r="W232" s="8"/>
      <c r="X232" s="8"/>
      <c r="Y232" s="8"/>
      <c r="Z232" s="8"/>
    </row>
    <row r="233" spans="1:26" ht="12.75" customHeight="1" x14ac:dyDescent="0.3">
      <c r="A233" s="8"/>
      <c r="B233" s="8"/>
      <c r="C233" s="8"/>
      <c r="D233" s="8"/>
      <c r="E233" s="8"/>
      <c r="F233" s="8"/>
      <c r="G233" s="8"/>
      <c r="H233" s="8"/>
      <c r="I233" s="89"/>
      <c r="J233" s="8"/>
      <c r="K233" s="8"/>
      <c r="L233" s="8"/>
      <c r="M233" s="8"/>
      <c r="N233" s="8"/>
      <c r="O233" s="8"/>
      <c r="P233" s="8"/>
      <c r="Q233" s="8"/>
      <c r="R233" s="8"/>
      <c r="S233" s="8"/>
      <c r="T233" s="8"/>
      <c r="U233" s="8"/>
      <c r="V233" s="8"/>
      <c r="W233" s="8"/>
      <c r="X233" s="8"/>
      <c r="Y233" s="8"/>
      <c r="Z233" s="8"/>
    </row>
    <row r="234" spans="1:26" ht="12.75" customHeight="1" x14ac:dyDescent="0.3">
      <c r="A234" s="8"/>
      <c r="B234" s="8"/>
      <c r="C234" s="8"/>
      <c r="D234" s="8"/>
      <c r="E234" s="8"/>
      <c r="F234" s="8"/>
      <c r="G234" s="8"/>
      <c r="H234" s="8"/>
      <c r="I234" s="89"/>
      <c r="J234" s="8"/>
      <c r="K234" s="8"/>
      <c r="L234" s="8"/>
      <c r="M234" s="8"/>
      <c r="N234" s="8"/>
      <c r="O234" s="8"/>
      <c r="P234" s="8"/>
      <c r="Q234" s="8"/>
      <c r="R234" s="8"/>
      <c r="S234" s="8"/>
      <c r="T234" s="8"/>
      <c r="U234" s="8"/>
      <c r="V234" s="8"/>
      <c r="W234" s="8"/>
      <c r="X234" s="8"/>
      <c r="Y234" s="8"/>
      <c r="Z234" s="8"/>
    </row>
    <row r="235" spans="1:26" ht="12.75" customHeight="1" x14ac:dyDescent="0.3">
      <c r="A235" s="8"/>
      <c r="B235" s="8"/>
      <c r="C235" s="8"/>
      <c r="D235" s="8"/>
      <c r="E235" s="8"/>
      <c r="F235" s="8"/>
      <c r="G235" s="8"/>
      <c r="H235" s="8"/>
      <c r="I235" s="89"/>
      <c r="J235" s="8"/>
      <c r="K235" s="8"/>
      <c r="L235" s="8"/>
      <c r="M235" s="8"/>
      <c r="N235" s="8"/>
      <c r="O235" s="8"/>
      <c r="P235" s="8"/>
      <c r="Q235" s="8"/>
      <c r="R235" s="8"/>
      <c r="S235" s="8"/>
      <c r="T235" s="8"/>
      <c r="U235" s="8"/>
      <c r="V235" s="8"/>
      <c r="W235" s="8"/>
      <c r="X235" s="8"/>
      <c r="Y235" s="8"/>
      <c r="Z235" s="8"/>
    </row>
    <row r="236" spans="1:26" ht="12.75" customHeight="1" x14ac:dyDescent="0.3">
      <c r="A236" s="8"/>
      <c r="B236" s="8"/>
      <c r="C236" s="8"/>
      <c r="D236" s="8"/>
      <c r="E236" s="8"/>
      <c r="F236" s="8"/>
      <c r="G236" s="8"/>
      <c r="H236" s="8"/>
      <c r="I236" s="89"/>
      <c r="J236" s="8"/>
      <c r="K236" s="8"/>
      <c r="L236" s="8"/>
      <c r="M236" s="8"/>
      <c r="N236" s="8"/>
      <c r="O236" s="8"/>
      <c r="P236" s="8"/>
      <c r="Q236" s="8"/>
      <c r="R236" s="8"/>
      <c r="S236" s="8"/>
      <c r="T236" s="8"/>
      <c r="U236" s="8"/>
      <c r="V236" s="8"/>
      <c r="W236" s="8"/>
      <c r="X236" s="8"/>
      <c r="Y236" s="8"/>
      <c r="Z236" s="8"/>
    </row>
    <row r="237" spans="1:26" ht="12.75" customHeight="1" x14ac:dyDescent="0.3">
      <c r="A237" s="8"/>
      <c r="B237" s="8"/>
      <c r="C237" s="8"/>
      <c r="D237" s="8"/>
      <c r="E237" s="8"/>
      <c r="F237" s="8"/>
      <c r="G237" s="8"/>
      <c r="H237" s="8"/>
      <c r="I237" s="89"/>
      <c r="J237" s="8"/>
      <c r="K237" s="8"/>
      <c r="L237" s="8"/>
      <c r="M237" s="8"/>
      <c r="N237" s="8"/>
      <c r="O237" s="8"/>
      <c r="P237" s="8"/>
      <c r="Q237" s="8"/>
      <c r="R237" s="8"/>
      <c r="S237" s="8"/>
      <c r="T237" s="8"/>
      <c r="U237" s="8"/>
      <c r="V237" s="8"/>
      <c r="W237" s="8"/>
      <c r="X237" s="8"/>
      <c r="Y237" s="8"/>
      <c r="Z237" s="8"/>
    </row>
    <row r="238" spans="1:26" ht="12.75" customHeight="1" x14ac:dyDescent="0.3">
      <c r="A238" s="8"/>
      <c r="B238" s="8"/>
      <c r="C238" s="8"/>
      <c r="D238" s="8"/>
      <c r="E238" s="8"/>
      <c r="F238" s="8"/>
      <c r="G238" s="8"/>
      <c r="H238" s="8"/>
      <c r="I238" s="89"/>
      <c r="J238" s="8"/>
      <c r="K238" s="8"/>
      <c r="L238" s="8"/>
      <c r="M238" s="8"/>
      <c r="N238" s="8"/>
      <c r="O238" s="8"/>
      <c r="P238" s="8"/>
      <c r="Q238" s="8"/>
      <c r="R238" s="8"/>
      <c r="S238" s="8"/>
      <c r="T238" s="8"/>
      <c r="U238" s="8"/>
      <c r="V238" s="8"/>
      <c r="W238" s="8"/>
      <c r="X238" s="8"/>
      <c r="Y238" s="8"/>
      <c r="Z238" s="8"/>
    </row>
    <row r="239" spans="1:26" ht="12.75" customHeight="1" x14ac:dyDescent="0.3">
      <c r="A239" s="8"/>
      <c r="B239" s="8"/>
      <c r="C239" s="8"/>
      <c r="D239" s="8"/>
      <c r="E239" s="8"/>
      <c r="F239" s="8"/>
      <c r="G239" s="8"/>
      <c r="H239" s="8"/>
      <c r="I239" s="89"/>
      <c r="J239" s="8"/>
      <c r="K239" s="8"/>
      <c r="L239" s="8"/>
      <c r="M239" s="8"/>
      <c r="N239" s="8"/>
      <c r="O239" s="8"/>
      <c r="P239" s="8"/>
      <c r="Q239" s="8"/>
      <c r="R239" s="8"/>
      <c r="S239" s="8"/>
      <c r="T239" s="8"/>
      <c r="U239" s="8"/>
      <c r="V239" s="8"/>
      <c r="W239" s="8"/>
      <c r="X239" s="8"/>
      <c r="Y239" s="8"/>
      <c r="Z239" s="8"/>
    </row>
    <row r="240" spans="1:26" ht="12.75" customHeight="1" x14ac:dyDescent="0.3">
      <c r="A240" s="8"/>
      <c r="B240" s="8"/>
      <c r="C240" s="8"/>
      <c r="D240" s="8"/>
      <c r="E240" s="8"/>
      <c r="F240" s="8"/>
      <c r="G240" s="8"/>
      <c r="H240" s="8"/>
      <c r="I240" s="89"/>
      <c r="J240" s="8"/>
      <c r="K240" s="8"/>
      <c r="L240" s="8"/>
      <c r="M240" s="8"/>
      <c r="N240" s="8"/>
      <c r="O240" s="8"/>
      <c r="P240" s="8"/>
      <c r="Q240" s="8"/>
      <c r="R240" s="8"/>
      <c r="S240" s="8"/>
      <c r="T240" s="8"/>
      <c r="U240" s="8"/>
      <c r="V240" s="8"/>
      <c r="W240" s="8"/>
      <c r="X240" s="8"/>
      <c r="Y240" s="8"/>
      <c r="Z240" s="8"/>
    </row>
    <row r="241" spans="1:26" ht="12.75" customHeight="1" x14ac:dyDescent="0.3">
      <c r="A241" s="8"/>
      <c r="B241" s="8"/>
      <c r="C241" s="8"/>
      <c r="D241" s="8"/>
      <c r="E241" s="8"/>
      <c r="F241" s="8"/>
      <c r="G241" s="8"/>
      <c r="H241" s="8"/>
      <c r="I241" s="89"/>
      <c r="J241" s="8"/>
      <c r="K241" s="8"/>
      <c r="L241" s="8"/>
      <c r="M241" s="8"/>
      <c r="N241" s="8"/>
      <c r="O241" s="8"/>
      <c r="P241" s="8"/>
      <c r="Q241" s="8"/>
      <c r="R241" s="8"/>
      <c r="S241" s="8"/>
      <c r="T241" s="8"/>
      <c r="U241" s="8"/>
      <c r="V241" s="8"/>
      <c r="W241" s="8"/>
      <c r="X241" s="8"/>
      <c r="Y241" s="8"/>
      <c r="Z241" s="8"/>
    </row>
    <row r="242" spans="1:26" ht="12.75" customHeight="1" x14ac:dyDescent="0.3">
      <c r="A242" s="8"/>
      <c r="B242" s="8"/>
      <c r="C242" s="8"/>
      <c r="D242" s="8"/>
      <c r="E242" s="8"/>
      <c r="F242" s="8"/>
      <c r="G242" s="8"/>
      <c r="H242" s="8"/>
      <c r="I242" s="89"/>
      <c r="J242" s="8"/>
      <c r="K242" s="8"/>
      <c r="L242" s="8"/>
      <c r="M242" s="8"/>
      <c r="N242" s="8"/>
      <c r="O242" s="8"/>
      <c r="P242" s="8"/>
      <c r="Q242" s="8"/>
      <c r="R242" s="8"/>
      <c r="S242" s="8"/>
      <c r="T242" s="8"/>
      <c r="U242" s="8"/>
      <c r="V242" s="8"/>
      <c r="W242" s="8"/>
      <c r="X242" s="8"/>
      <c r="Y242" s="8"/>
      <c r="Z242" s="8"/>
    </row>
    <row r="243" spans="1:26" ht="12.75" customHeight="1" x14ac:dyDescent="0.3">
      <c r="A243" s="8"/>
      <c r="B243" s="8"/>
      <c r="C243" s="8"/>
      <c r="D243" s="8"/>
      <c r="E243" s="8"/>
      <c r="F243" s="8"/>
      <c r="G243" s="8"/>
      <c r="H243" s="8"/>
      <c r="I243" s="89"/>
      <c r="J243" s="8"/>
      <c r="K243" s="8"/>
      <c r="L243" s="8"/>
      <c r="M243" s="8"/>
      <c r="N243" s="8"/>
      <c r="O243" s="8"/>
      <c r="P243" s="8"/>
      <c r="Q243" s="8"/>
      <c r="R243" s="8"/>
      <c r="S243" s="8"/>
      <c r="T243" s="8"/>
      <c r="U243" s="8"/>
      <c r="V243" s="8"/>
      <c r="W243" s="8"/>
      <c r="X243" s="8"/>
      <c r="Y243" s="8"/>
      <c r="Z243" s="8"/>
    </row>
    <row r="244" spans="1:26" ht="12.75" customHeight="1" x14ac:dyDescent="0.3">
      <c r="A244" s="8"/>
      <c r="B244" s="8"/>
      <c r="C244" s="8"/>
      <c r="D244" s="8"/>
      <c r="E244" s="8"/>
      <c r="F244" s="8"/>
      <c r="G244" s="8"/>
      <c r="H244" s="8"/>
      <c r="I244" s="89"/>
      <c r="J244" s="8"/>
      <c r="K244" s="8"/>
      <c r="L244" s="8"/>
      <c r="M244" s="8"/>
      <c r="N244" s="8"/>
      <c r="O244" s="8"/>
      <c r="P244" s="8"/>
      <c r="Q244" s="8"/>
      <c r="R244" s="8"/>
      <c r="S244" s="8"/>
      <c r="T244" s="8"/>
      <c r="U244" s="8"/>
      <c r="V244" s="8"/>
      <c r="W244" s="8"/>
      <c r="X244" s="8"/>
      <c r="Y244" s="8"/>
      <c r="Z244" s="8"/>
    </row>
    <row r="245" spans="1:26" ht="12.75" customHeight="1" x14ac:dyDescent="0.3">
      <c r="A245" s="8"/>
      <c r="B245" s="8"/>
      <c r="C245" s="8"/>
      <c r="D245" s="8"/>
      <c r="E245" s="8"/>
      <c r="F245" s="8"/>
      <c r="G245" s="8"/>
      <c r="H245" s="8"/>
      <c r="I245" s="89"/>
      <c r="J245" s="8"/>
      <c r="K245" s="8"/>
      <c r="L245" s="8"/>
      <c r="M245" s="8"/>
      <c r="N245" s="8"/>
      <c r="O245" s="8"/>
      <c r="P245" s="8"/>
      <c r="Q245" s="8"/>
      <c r="R245" s="8"/>
      <c r="S245" s="8"/>
      <c r="T245" s="8"/>
      <c r="U245" s="8"/>
      <c r="V245" s="8"/>
      <c r="W245" s="8"/>
      <c r="X245" s="8"/>
      <c r="Y245" s="8"/>
      <c r="Z245" s="8"/>
    </row>
    <row r="246" spans="1:26" ht="12.75" customHeight="1" x14ac:dyDescent="0.3">
      <c r="A246" s="8"/>
      <c r="B246" s="8"/>
      <c r="C246" s="8"/>
      <c r="D246" s="8"/>
      <c r="E246" s="8"/>
      <c r="F246" s="8"/>
      <c r="G246" s="8"/>
      <c r="H246" s="8"/>
      <c r="I246" s="89"/>
      <c r="J246" s="8"/>
      <c r="K246" s="8"/>
      <c r="L246" s="8"/>
      <c r="M246" s="8"/>
      <c r="N246" s="8"/>
      <c r="O246" s="8"/>
      <c r="P246" s="8"/>
      <c r="Q246" s="8"/>
      <c r="R246" s="8"/>
      <c r="S246" s="8"/>
      <c r="T246" s="8"/>
      <c r="U246" s="8"/>
      <c r="V246" s="8"/>
      <c r="W246" s="8"/>
      <c r="X246" s="8"/>
      <c r="Y246" s="8"/>
      <c r="Z246" s="8"/>
    </row>
    <row r="247" spans="1:26" ht="12.75" customHeight="1" x14ac:dyDescent="0.3">
      <c r="A247" s="8"/>
      <c r="B247" s="8"/>
      <c r="C247" s="8"/>
      <c r="D247" s="8"/>
      <c r="E247" s="8"/>
      <c r="F247" s="8"/>
      <c r="G247" s="8"/>
      <c r="H247" s="8"/>
      <c r="I247" s="89"/>
      <c r="J247" s="8"/>
      <c r="K247" s="8"/>
      <c r="L247" s="8"/>
      <c r="M247" s="8"/>
      <c r="N247" s="8"/>
      <c r="O247" s="8"/>
      <c r="P247" s="8"/>
      <c r="Q247" s="8"/>
      <c r="R247" s="8"/>
      <c r="S247" s="8"/>
      <c r="T247" s="8"/>
      <c r="U247" s="8"/>
      <c r="V247" s="8"/>
      <c r="W247" s="8"/>
      <c r="X247" s="8"/>
      <c r="Y247" s="8"/>
      <c r="Z247" s="8"/>
    </row>
    <row r="248" spans="1:26" ht="12.75" customHeight="1" x14ac:dyDescent="0.3">
      <c r="A248" s="8"/>
      <c r="B248" s="8"/>
      <c r="C248" s="8"/>
      <c r="D248" s="8"/>
      <c r="E248" s="8"/>
      <c r="F248" s="8"/>
      <c r="G248" s="8"/>
      <c r="H248" s="8"/>
      <c r="I248" s="89"/>
      <c r="J248" s="8"/>
      <c r="K248" s="8"/>
      <c r="L248" s="8"/>
      <c r="M248" s="8"/>
      <c r="N248" s="8"/>
      <c r="O248" s="8"/>
      <c r="P248" s="8"/>
      <c r="Q248" s="8"/>
      <c r="R248" s="8"/>
      <c r="S248" s="8"/>
      <c r="T248" s="8"/>
      <c r="U248" s="8"/>
      <c r="V248" s="8"/>
      <c r="W248" s="8"/>
      <c r="X248" s="8"/>
      <c r="Y248" s="8"/>
      <c r="Z248" s="8"/>
    </row>
    <row r="249" spans="1:26" ht="12.75" customHeight="1" x14ac:dyDescent="0.3">
      <c r="A249" s="8"/>
      <c r="B249" s="8"/>
      <c r="C249" s="8"/>
      <c r="D249" s="8"/>
      <c r="E249" s="8"/>
      <c r="F249" s="8"/>
      <c r="G249" s="8"/>
      <c r="H249" s="8"/>
      <c r="I249" s="89"/>
      <c r="J249" s="8"/>
      <c r="K249" s="8"/>
      <c r="L249" s="8"/>
      <c r="M249" s="8"/>
      <c r="N249" s="8"/>
      <c r="O249" s="8"/>
      <c r="P249" s="8"/>
      <c r="Q249" s="8"/>
      <c r="R249" s="8"/>
      <c r="S249" s="8"/>
      <c r="T249" s="8"/>
      <c r="U249" s="8"/>
      <c r="V249" s="8"/>
      <c r="W249" s="8"/>
      <c r="X249" s="8"/>
      <c r="Y249" s="8"/>
      <c r="Z249" s="8"/>
    </row>
    <row r="250" spans="1:26" ht="12.75" customHeight="1" x14ac:dyDescent="0.3">
      <c r="A250" s="8"/>
      <c r="B250" s="8"/>
      <c r="C250" s="8"/>
      <c r="D250" s="8"/>
      <c r="E250" s="8"/>
      <c r="F250" s="8"/>
      <c r="G250" s="8"/>
      <c r="H250" s="8"/>
      <c r="I250" s="89"/>
      <c r="J250" s="8"/>
      <c r="K250" s="8"/>
      <c r="L250" s="8"/>
      <c r="M250" s="8"/>
      <c r="N250" s="8"/>
      <c r="O250" s="8"/>
      <c r="P250" s="8"/>
      <c r="Q250" s="8"/>
      <c r="R250" s="8"/>
      <c r="S250" s="8"/>
      <c r="T250" s="8"/>
      <c r="U250" s="8"/>
      <c r="V250" s="8"/>
      <c r="W250" s="8"/>
      <c r="X250" s="8"/>
      <c r="Y250" s="8"/>
      <c r="Z250" s="8"/>
    </row>
    <row r="251" spans="1:26" ht="12.75" customHeight="1" x14ac:dyDescent="0.3">
      <c r="A251" s="8"/>
      <c r="B251" s="8"/>
      <c r="C251" s="8"/>
      <c r="D251" s="8"/>
      <c r="E251" s="8"/>
      <c r="F251" s="8"/>
      <c r="G251" s="8"/>
      <c r="H251" s="8"/>
      <c r="I251" s="89"/>
      <c r="J251" s="8"/>
      <c r="K251" s="8"/>
      <c r="L251" s="8"/>
      <c r="M251" s="8"/>
      <c r="N251" s="8"/>
      <c r="O251" s="8"/>
      <c r="P251" s="8"/>
      <c r="Q251" s="8"/>
      <c r="R251" s="8"/>
      <c r="S251" s="8"/>
      <c r="T251" s="8"/>
      <c r="U251" s="8"/>
      <c r="V251" s="8"/>
      <c r="W251" s="8"/>
      <c r="X251" s="8"/>
      <c r="Y251" s="8"/>
      <c r="Z251" s="8"/>
    </row>
    <row r="252" spans="1:26" ht="12.75" customHeight="1" x14ac:dyDescent="0.3">
      <c r="A252" s="8"/>
      <c r="B252" s="8"/>
      <c r="C252" s="8"/>
      <c r="D252" s="8"/>
      <c r="E252" s="8"/>
      <c r="F252" s="8"/>
      <c r="G252" s="8"/>
      <c r="H252" s="8"/>
      <c r="I252" s="89"/>
      <c r="J252" s="8"/>
      <c r="K252" s="8"/>
      <c r="L252" s="8"/>
      <c r="M252" s="8"/>
      <c r="N252" s="8"/>
      <c r="O252" s="8"/>
      <c r="P252" s="8"/>
      <c r="Q252" s="8"/>
      <c r="R252" s="8"/>
      <c r="S252" s="8"/>
      <c r="T252" s="8"/>
      <c r="U252" s="8"/>
      <c r="V252" s="8"/>
      <c r="W252" s="8"/>
      <c r="X252" s="8"/>
      <c r="Y252" s="8"/>
      <c r="Z252" s="8"/>
    </row>
    <row r="253" spans="1:26" ht="12.75" customHeight="1" x14ac:dyDescent="0.3">
      <c r="A253" s="8"/>
      <c r="B253" s="8"/>
      <c r="C253" s="8"/>
      <c r="D253" s="8"/>
      <c r="E253" s="8"/>
      <c r="F253" s="8"/>
      <c r="G253" s="8"/>
      <c r="H253" s="8"/>
      <c r="I253" s="89"/>
      <c r="J253" s="8"/>
      <c r="K253" s="8"/>
      <c r="L253" s="8"/>
      <c r="M253" s="8"/>
      <c r="N253" s="8"/>
      <c r="O253" s="8"/>
      <c r="P253" s="8"/>
      <c r="Q253" s="8"/>
      <c r="R253" s="8"/>
      <c r="S253" s="8"/>
      <c r="T253" s="8"/>
      <c r="U253" s="8"/>
      <c r="V253" s="8"/>
      <c r="W253" s="8"/>
      <c r="X253" s="8"/>
      <c r="Y253" s="8"/>
      <c r="Z253" s="8"/>
    </row>
    <row r="254" spans="1:26" ht="12.75" customHeight="1" x14ac:dyDescent="0.3">
      <c r="A254" s="8"/>
      <c r="B254" s="8"/>
      <c r="C254" s="8"/>
      <c r="D254" s="8"/>
      <c r="E254" s="8"/>
      <c r="F254" s="8"/>
      <c r="G254" s="8"/>
      <c r="H254" s="8"/>
      <c r="I254" s="89"/>
      <c r="J254" s="8"/>
      <c r="K254" s="8"/>
      <c r="L254" s="8"/>
      <c r="M254" s="8"/>
      <c r="N254" s="8"/>
      <c r="O254" s="8"/>
      <c r="P254" s="8"/>
      <c r="Q254" s="8"/>
      <c r="R254" s="8"/>
      <c r="S254" s="8"/>
      <c r="T254" s="8"/>
      <c r="U254" s="8"/>
      <c r="V254" s="8"/>
      <c r="W254" s="8"/>
      <c r="X254" s="8"/>
      <c r="Y254" s="8"/>
      <c r="Z254" s="8"/>
    </row>
    <row r="255" spans="1:26" ht="12.75" customHeight="1" x14ac:dyDescent="0.3">
      <c r="A255" s="8"/>
      <c r="B255" s="8"/>
      <c r="C255" s="8"/>
      <c r="D255" s="8"/>
      <c r="E255" s="8"/>
      <c r="F255" s="8"/>
      <c r="G255" s="8"/>
      <c r="H255" s="8"/>
      <c r="I255" s="89"/>
      <c r="J255" s="8"/>
      <c r="K255" s="8"/>
      <c r="L255" s="8"/>
      <c r="M255" s="8"/>
      <c r="N255" s="8"/>
      <c r="O255" s="8"/>
      <c r="P255" s="8"/>
      <c r="Q255" s="8"/>
      <c r="R255" s="8"/>
      <c r="S255" s="8"/>
      <c r="T255" s="8"/>
      <c r="U255" s="8"/>
      <c r="V255" s="8"/>
      <c r="W255" s="8"/>
      <c r="X255" s="8"/>
      <c r="Y255" s="8"/>
      <c r="Z255" s="8"/>
    </row>
    <row r="256" spans="1:26" ht="12.75" customHeight="1" x14ac:dyDescent="0.3">
      <c r="A256" s="8"/>
      <c r="B256" s="8"/>
      <c r="C256" s="8"/>
      <c r="D256" s="8"/>
      <c r="E256" s="8"/>
      <c r="F256" s="8"/>
      <c r="G256" s="8"/>
      <c r="H256" s="8"/>
      <c r="I256" s="89"/>
      <c r="J256" s="8"/>
      <c r="K256" s="8"/>
      <c r="L256" s="8"/>
      <c r="M256" s="8"/>
      <c r="N256" s="8"/>
      <c r="O256" s="8"/>
      <c r="P256" s="8"/>
      <c r="Q256" s="8"/>
      <c r="R256" s="8"/>
      <c r="S256" s="8"/>
      <c r="T256" s="8"/>
      <c r="U256" s="8"/>
      <c r="V256" s="8"/>
      <c r="W256" s="8"/>
      <c r="X256" s="8"/>
      <c r="Y256" s="8"/>
      <c r="Z256" s="8"/>
    </row>
    <row r="257" spans="1:26" ht="12.75" customHeight="1" x14ac:dyDescent="0.3">
      <c r="A257" s="8"/>
      <c r="B257" s="8"/>
      <c r="C257" s="8"/>
      <c r="D257" s="8"/>
      <c r="E257" s="8"/>
      <c r="F257" s="8"/>
      <c r="G257" s="8"/>
      <c r="H257" s="8"/>
      <c r="I257" s="89"/>
      <c r="J257" s="8"/>
      <c r="K257" s="8"/>
      <c r="L257" s="8"/>
      <c r="M257" s="8"/>
      <c r="N257" s="8"/>
      <c r="O257" s="8"/>
      <c r="P257" s="8"/>
      <c r="Q257" s="8"/>
      <c r="R257" s="8"/>
      <c r="S257" s="8"/>
      <c r="T257" s="8"/>
      <c r="U257" s="8"/>
      <c r="V257" s="8"/>
      <c r="W257" s="8"/>
      <c r="X257" s="8"/>
      <c r="Y257" s="8"/>
      <c r="Z257" s="8"/>
    </row>
    <row r="258" spans="1:26" ht="12.75" customHeight="1" x14ac:dyDescent="0.3">
      <c r="A258" s="8"/>
      <c r="B258" s="8"/>
      <c r="C258" s="8"/>
      <c r="D258" s="8"/>
      <c r="E258" s="8"/>
      <c r="F258" s="8"/>
      <c r="G258" s="8"/>
      <c r="H258" s="8"/>
      <c r="I258" s="89"/>
      <c r="J258" s="8"/>
      <c r="K258" s="8"/>
      <c r="L258" s="8"/>
      <c r="M258" s="8"/>
      <c r="N258" s="8"/>
      <c r="O258" s="8"/>
      <c r="P258" s="8"/>
      <c r="Q258" s="8"/>
      <c r="R258" s="8"/>
      <c r="S258" s="8"/>
      <c r="T258" s="8"/>
      <c r="U258" s="8"/>
      <c r="V258" s="8"/>
      <c r="W258" s="8"/>
      <c r="X258" s="8"/>
      <c r="Y258" s="8"/>
      <c r="Z258" s="8"/>
    </row>
    <row r="259" spans="1:26" ht="12.75" customHeight="1" x14ac:dyDescent="0.3">
      <c r="A259" s="8"/>
      <c r="B259" s="8"/>
      <c r="C259" s="8"/>
      <c r="D259" s="8"/>
      <c r="E259" s="8"/>
      <c r="F259" s="8"/>
      <c r="G259" s="8"/>
      <c r="H259" s="8"/>
      <c r="I259" s="89"/>
      <c r="J259" s="8"/>
      <c r="K259" s="8"/>
      <c r="L259" s="8"/>
      <c r="M259" s="8"/>
      <c r="N259" s="8"/>
      <c r="O259" s="8"/>
      <c r="P259" s="8"/>
      <c r="Q259" s="8"/>
      <c r="R259" s="8"/>
      <c r="S259" s="8"/>
      <c r="T259" s="8"/>
      <c r="U259" s="8"/>
      <c r="V259" s="8"/>
      <c r="W259" s="8"/>
      <c r="X259" s="8"/>
      <c r="Y259" s="8"/>
      <c r="Z259" s="8"/>
    </row>
    <row r="260" spans="1:26" ht="12.75" customHeight="1" x14ac:dyDescent="0.3">
      <c r="A260" s="8"/>
      <c r="B260" s="8"/>
      <c r="C260" s="8"/>
      <c r="D260" s="8"/>
      <c r="E260" s="8"/>
      <c r="F260" s="8"/>
      <c r="G260" s="8"/>
      <c r="H260" s="8"/>
      <c r="I260" s="89"/>
      <c r="J260" s="8"/>
      <c r="K260" s="8"/>
      <c r="L260" s="8"/>
      <c r="M260" s="8"/>
      <c r="N260" s="8"/>
      <c r="O260" s="8"/>
      <c r="P260" s="8"/>
      <c r="Q260" s="8"/>
      <c r="R260" s="8"/>
      <c r="S260" s="8"/>
      <c r="T260" s="8"/>
      <c r="U260" s="8"/>
      <c r="V260" s="8"/>
      <c r="W260" s="8"/>
      <c r="X260" s="8"/>
      <c r="Y260" s="8"/>
      <c r="Z260" s="8"/>
    </row>
    <row r="261" spans="1:26" ht="12.75" customHeight="1" x14ac:dyDescent="0.3">
      <c r="A261" s="8"/>
      <c r="B261" s="8"/>
      <c r="C261" s="8"/>
      <c r="D261" s="8"/>
      <c r="E261" s="8"/>
      <c r="F261" s="8"/>
      <c r="G261" s="8"/>
      <c r="H261" s="8"/>
      <c r="I261" s="89"/>
      <c r="J261" s="8"/>
      <c r="K261" s="8"/>
      <c r="L261" s="8"/>
      <c r="M261" s="8"/>
      <c r="N261" s="8"/>
      <c r="O261" s="8"/>
      <c r="P261" s="8"/>
      <c r="Q261" s="8"/>
      <c r="R261" s="8"/>
      <c r="S261" s="8"/>
      <c r="T261" s="8"/>
      <c r="U261" s="8"/>
      <c r="V261" s="8"/>
      <c r="W261" s="8"/>
      <c r="X261" s="8"/>
      <c r="Y261" s="8"/>
      <c r="Z261" s="8"/>
    </row>
    <row r="262" spans="1:26" ht="12.75" customHeight="1" x14ac:dyDescent="0.3">
      <c r="A262" s="8"/>
      <c r="B262" s="8"/>
      <c r="C262" s="8"/>
      <c r="D262" s="8"/>
      <c r="E262" s="8"/>
      <c r="F262" s="8"/>
      <c r="G262" s="8"/>
      <c r="H262" s="8"/>
      <c r="I262" s="89"/>
      <c r="J262" s="8"/>
      <c r="K262" s="8"/>
      <c r="L262" s="8"/>
      <c r="M262" s="8"/>
      <c r="N262" s="8"/>
      <c r="O262" s="8"/>
      <c r="P262" s="8"/>
      <c r="Q262" s="8"/>
      <c r="R262" s="8"/>
      <c r="S262" s="8"/>
      <c r="T262" s="8"/>
      <c r="U262" s="8"/>
      <c r="V262" s="8"/>
      <c r="W262" s="8"/>
      <c r="X262" s="8"/>
      <c r="Y262" s="8"/>
      <c r="Z262" s="8"/>
    </row>
    <row r="263" spans="1:26" ht="12.75" customHeight="1" x14ac:dyDescent="0.3">
      <c r="A263" s="8"/>
      <c r="B263" s="8"/>
      <c r="C263" s="8"/>
      <c r="D263" s="8"/>
      <c r="E263" s="8"/>
      <c r="F263" s="8"/>
      <c r="G263" s="8"/>
      <c r="H263" s="8"/>
      <c r="I263" s="89"/>
      <c r="J263" s="8"/>
      <c r="K263" s="8"/>
      <c r="L263" s="8"/>
      <c r="M263" s="8"/>
      <c r="N263" s="8"/>
      <c r="O263" s="8"/>
      <c r="P263" s="8"/>
      <c r="Q263" s="8"/>
      <c r="R263" s="8"/>
      <c r="S263" s="8"/>
      <c r="T263" s="8"/>
      <c r="U263" s="8"/>
      <c r="V263" s="8"/>
      <c r="W263" s="8"/>
      <c r="X263" s="8"/>
      <c r="Y263" s="8"/>
      <c r="Z263" s="8"/>
    </row>
    <row r="264" spans="1:26" ht="12.75" customHeight="1" x14ac:dyDescent="0.3">
      <c r="A264" s="8"/>
      <c r="B264" s="8"/>
      <c r="C264" s="8"/>
      <c r="D264" s="8"/>
      <c r="E264" s="8"/>
      <c r="F264" s="8"/>
      <c r="G264" s="8"/>
      <c r="H264" s="8"/>
      <c r="I264" s="89"/>
      <c r="J264" s="8"/>
      <c r="K264" s="8"/>
      <c r="L264" s="8"/>
      <c r="M264" s="8"/>
      <c r="N264" s="8"/>
      <c r="O264" s="8"/>
      <c r="P264" s="8"/>
      <c r="Q264" s="8"/>
      <c r="R264" s="8"/>
      <c r="S264" s="8"/>
      <c r="T264" s="8"/>
      <c r="U264" s="8"/>
      <c r="V264" s="8"/>
      <c r="W264" s="8"/>
      <c r="X264" s="8"/>
      <c r="Y264" s="8"/>
      <c r="Z264" s="8"/>
    </row>
    <row r="265" spans="1:26" ht="12.75" customHeight="1" x14ac:dyDescent="0.3">
      <c r="A265" s="8"/>
      <c r="B265" s="8"/>
      <c r="C265" s="8"/>
      <c r="D265" s="8"/>
      <c r="E265" s="8"/>
      <c r="F265" s="8"/>
      <c r="G265" s="8"/>
      <c r="H265" s="8"/>
      <c r="I265" s="89"/>
      <c r="J265" s="8"/>
      <c r="K265" s="8"/>
      <c r="L265" s="8"/>
      <c r="M265" s="8"/>
      <c r="N265" s="8"/>
      <c r="O265" s="8"/>
      <c r="P265" s="8"/>
      <c r="Q265" s="8"/>
      <c r="R265" s="8"/>
      <c r="S265" s="8"/>
      <c r="T265" s="8"/>
      <c r="U265" s="8"/>
      <c r="V265" s="8"/>
      <c r="W265" s="8"/>
      <c r="X265" s="8"/>
      <c r="Y265" s="8"/>
      <c r="Z265" s="8"/>
    </row>
    <row r="266" spans="1:26" ht="12.75" customHeight="1" x14ac:dyDescent="0.3">
      <c r="A266" s="8"/>
      <c r="B266" s="8"/>
      <c r="C266" s="8"/>
      <c r="D266" s="8"/>
      <c r="E266" s="8"/>
      <c r="F266" s="8"/>
      <c r="G266" s="8"/>
      <c r="H266" s="8"/>
      <c r="I266" s="89"/>
      <c r="J266" s="8"/>
      <c r="K266" s="8"/>
      <c r="L266" s="8"/>
      <c r="M266" s="8"/>
      <c r="N266" s="8"/>
      <c r="O266" s="8"/>
      <c r="P266" s="8"/>
      <c r="Q266" s="8"/>
      <c r="R266" s="8"/>
      <c r="S266" s="8"/>
      <c r="T266" s="8"/>
      <c r="U266" s="8"/>
      <c r="V266" s="8"/>
      <c r="W266" s="8"/>
      <c r="X266" s="8"/>
      <c r="Y266" s="8"/>
      <c r="Z266" s="8"/>
    </row>
    <row r="267" spans="1:26" ht="12.75" customHeight="1" x14ac:dyDescent="0.3">
      <c r="A267" s="8"/>
      <c r="B267" s="8"/>
      <c r="C267" s="8"/>
      <c r="D267" s="8"/>
      <c r="E267" s="8"/>
      <c r="F267" s="8"/>
      <c r="G267" s="8"/>
      <c r="H267" s="8"/>
      <c r="I267" s="89"/>
      <c r="J267" s="8"/>
      <c r="K267" s="8"/>
      <c r="L267" s="8"/>
      <c r="M267" s="8"/>
      <c r="N267" s="8"/>
      <c r="O267" s="8"/>
      <c r="P267" s="8"/>
      <c r="Q267" s="8"/>
      <c r="R267" s="8"/>
      <c r="S267" s="8"/>
      <c r="T267" s="8"/>
      <c r="U267" s="8"/>
      <c r="V267" s="8"/>
      <c r="W267" s="8"/>
      <c r="X267" s="8"/>
      <c r="Y267" s="8"/>
      <c r="Z267" s="8"/>
    </row>
    <row r="268" spans="1:26" ht="12.75" customHeight="1" x14ac:dyDescent="0.3">
      <c r="A268" s="8"/>
      <c r="B268" s="8"/>
      <c r="C268" s="8"/>
      <c r="D268" s="8"/>
      <c r="E268" s="8"/>
      <c r="F268" s="8"/>
      <c r="G268" s="8"/>
      <c r="H268" s="8"/>
      <c r="I268" s="89"/>
      <c r="J268" s="8"/>
      <c r="K268" s="8"/>
      <c r="L268" s="8"/>
      <c r="M268" s="8"/>
      <c r="N268" s="8"/>
      <c r="O268" s="8"/>
      <c r="P268" s="8"/>
      <c r="Q268" s="8"/>
      <c r="R268" s="8"/>
      <c r="S268" s="8"/>
      <c r="T268" s="8"/>
      <c r="U268" s="8"/>
      <c r="V268" s="8"/>
      <c r="W268" s="8"/>
      <c r="X268" s="8"/>
      <c r="Y268" s="8"/>
      <c r="Z268" s="8"/>
    </row>
    <row r="269" spans="1:26" ht="12.75" customHeight="1" x14ac:dyDescent="0.3">
      <c r="A269" s="8"/>
      <c r="B269" s="8"/>
      <c r="C269" s="8"/>
      <c r="D269" s="8"/>
      <c r="E269" s="8"/>
      <c r="F269" s="8"/>
      <c r="G269" s="8"/>
      <c r="H269" s="8"/>
      <c r="I269" s="89"/>
      <c r="J269" s="8"/>
      <c r="K269" s="8"/>
      <c r="L269" s="8"/>
      <c r="M269" s="8"/>
      <c r="N269" s="8"/>
      <c r="O269" s="8"/>
      <c r="P269" s="8"/>
      <c r="Q269" s="8"/>
      <c r="R269" s="8"/>
      <c r="S269" s="8"/>
      <c r="T269" s="8"/>
      <c r="U269" s="8"/>
      <c r="V269" s="8"/>
      <c r="W269" s="8"/>
      <c r="X269" s="8"/>
      <c r="Y269" s="8"/>
      <c r="Z269" s="8"/>
    </row>
    <row r="270" spans="1:26" ht="12.75" customHeight="1" x14ac:dyDescent="0.3">
      <c r="A270" s="8"/>
      <c r="B270" s="8"/>
      <c r="C270" s="8"/>
      <c r="D270" s="8"/>
      <c r="E270" s="8"/>
      <c r="F270" s="8"/>
      <c r="G270" s="8"/>
      <c r="H270" s="8"/>
      <c r="I270" s="89"/>
      <c r="J270" s="8"/>
      <c r="K270" s="8"/>
      <c r="L270" s="8"/>
      <c r="M270" s="8"/>
      <c r="N270" s="8"/>
      <c r="O270" s="8"/>
      <c r="P270" s="8"/>
      <c r="Q270" s="8"/>
      <c r="R270" s="8"/>
      <c r="S270" s="8"/>
      <c r="T270" s="8"/>
      <c r="U270" s="8"/>
      <c r="V270" s="8"/>
      <c r="W270" s="8"/>
      <c r="X270" s="8"/>
      <c r="Y270" s="8"/>
      <c r="Z270" s="8"/>
    </row>
    <row r="271" spans="1:26" ht="12.75" customHeight="1" x14ac:dyDescent="0.3">
      <c r="A271" s="8"/>
      <c r="B271" s="8"/>
      <c r="C271" s="8"/>
      <c r="D271" s="8"/>
      <c r="E271" s="8"/>
      <c r="F271" s="8"/>
      <c r="G271" s="8"/>
      <c r="H271" s="8"/>
      <c r="I271" s="89"/>
      <c r="J271" s="8"/>
      <c r="K271" s="8"/>
      <c r="L271" s="8"/>
      <c r="M271" s="8"/>
      <c r="N271" s="8"/>
      <c r="O271" s="8"/>
      <c r="P271" s="8"/>
      <c r="Q271" s="8"/>
      <c r="R271" s="8"/>
      <c r="S271" s="8"/>
      <c r="T271" s="8"/>
      <c r="U271" s="8"/>
      <c r="V271" s="8"/>
      <c r="W271" s="8"/>
      <c r="X271" s="8"/>
      <c r="Y271" s="8"/>
      <c r="Z271" s="8"/>
    </row>
    <row r="272" spans="1:26" ht="12.75" customHeight="1" x14ac:dyDescent="0.3">
      <c r="A272" s="8"/>
      <c r="B272" s="8"/>
      <c r="C272" s="8"/>
      <c r="D272" s="8"/>
      <c r="E272" s="8"/>
      <c r="F272" s="8"/>
      <c r="G272" s="8"/>
      <c r="H272" s="8"/>
      <c r="I272" s="89"/>
      <c r="J272" s="8"/>
      <c r="K272" s="8"/>
      <c r="L272" s="8"/>
      <c r="M272" s="8"/>
      <c r="N272" s="8"/>
      <c r="O272" s="8"/>
      <c r="P272" s="8"/>
      <c r="Q272" s="8"/>
      <c r="R272" s="8"/>
      <c r="S272" s="8"/>
      <c r="T272" s="8"/>
      <c r="U272" s="8"/>
      <c r="V272" s="8"/>
      <c r="W272" s="8"/>
      <c r="X272" s="8"/>
      <c r="Y272" s="8"/>
      <c r="Z272" s="8"/>
    </row>
    <row r="273" spans="1:26" ht="12.75" customHeight="1" x14ac:dyDescent="0.3">
      <c r="A273" s="8"/>
      <c r="B273" s="8"/>
      <c r="C273" s="8"/>
      <c r="D273" s="8"/>
      <c r="E273" s="8"/>
      <c r="F273" s="8"/>
      <c r="G273" s="8"/>
      <c r="H273" s="8"/>
      <c r="I273" s="89"/>
      <c r="J273" s="8"/>
      <c r="K273" s="8"/>
      <c r="L273" s="8"/>
      <c r="M273" s="8"/>
      <c r="N273" s="8"/>
      <c r="O273" s="8"/>
      <c r="P273" s="8"/>
      <c r="Q273" s="8"/>
      <c r="R273" s="8"/>
      <c r="S273" s="8"/>
      <c r="T273" s="8"/>
      <c r="U273" s="8"/>
      <c r="V273" s="8"/>
      <c r="W273" s="8"/>
      <c r="X273" s="8"/>
      <c r="Y273" s="8"/>
      <c r="Z273" s="8"/>
    </row>
    <row r="274" spans="1:26" ht="12.75" customHeight="1" x14ac:dyDescent="0.3">
      <c r="A274" s="8"/>
      <c r="B274" s="8"/>
      <c r="C274" s="8"/>
      <c r="D274" s="8"/>
      <c r="E274" s="8"/>
      <c r="F274" s="8"/>
      <c r="G274" s="8"/>
      <c r="H274" s="8"/>
      <c r="I274" s="89"/>
      <c r="J274" s="8"/>
      <c r="K274" s="8"/>
      <c r="L274" s="8"/>
      <c r="M274" s="8"/>
      <c r="N274" s="8"/>
      <c r="O274" s="8"/>
      <c r="P274" s="8"/>
      <c r="Q274" s="8"/>
      <c r="R274" s="8"/>
      <c r="S274" s="8"/>
      <c r="T274" s="8"/>
      <c r="U274" s="8"/>
      <c r="V274" s="8"/>
      <c r="W274" s="8"/>
      <c r="X274" s="8"/>
      <c r="Y274" s="8"/>
      <c r="Z274" s="8"/>
    </row>
    <row r="275" spans="1:26" ht="12.75" customHeight="1" x14ac:dyDescent="0.3">
      <c r="A275" s="8"/>
      <c r="B275" s="8"/>
      <c r="C275" s="8"/>
      <c r="D275" s="8"/>
      <c r="E275" s="8"/>
      <c r="F275" s="8"/>
      <c r="G275" s="8"/>
      <c r="H275" s="8"/>
      <c r="I275" s="89"/>
      <c r="J275" s="8"/>
      <c r="K275" s="8"/>
      <c r="L275" s="8"/>
      <c r="M275" s="8"/>
      <c r="N275" s="8"/>
      <c r="O275" s="8"/>
      <c r="P275" s="8"/>
      <c r="Q275" s="8"/>
      <c r="R275" s="8"/>
      <c r="S275" s="8"/>
      <c r="T275" s="8"/>
      <c r="U275" s="8"/>
      <c r="V275" s="8"/>
      <c r="W275" s="8"/>
      <c r="X275" s="8"/>
      <c r="Y275" s="8"/>
      <c r="Z275" s="8"/>
    </row>
    <row r="276" spans="1:26" ht="12.75" customHeight="1" x14ac:dyDescent="0.3">
      <c r="A276" s="8"/>
      <c r="B276" s="8"/>
      <c r="C276" s="8"/>
      <c r="D276" s="8"/>
      <c r="E276" s="8"/>
      <c r="F276" s="8"/>
      <c r="G276" s="8"/>
      <c r="H276" s="8"/>
      <c r="I276" s="89"/>
      <c r="J276" s="8"/>
      <c r="K276" s="8"/>
      <c r="L276" s="8"/>
      <c r="M276" s="8"/>
      <c r="N276" s="8"/>
      <c r="O276" s="8"/>
      <c r="P276" s="8"/>
      <c r="Q276" s="8"/>
      <c r="R276" s="8"/>
      <c r="S276" s="8"/>
      <c r="T276" s="8"/>
      <c r="U276" s="8"/>
      <c r="V276" s="8"/>
      <c r="W276" s="8"/>
      <c r="X276" s="8"/>
      <c r="Y276" s="8"/>
      <c r="Z276" s="8"/>
    </row>
    <row r="277" spans="1:26" ht="12.75" customHeight="1" x14ac:dyDescent="0.3">
      <c r="A277" s="8"/>
      <c r="B277" s="8"/>
      <c r="C277" s="8"/>
      <c r="D277" s="8"/>
      <c r="E277" s="8"/>
      <c r="F277" s="8"/>
      <c r="G277" s="8"/>
      <c r="H277" s="8"/>
      <c r="I277" s="89"/>
      <c r="J277" s="8"/>
      <c r="K277" s="8"/>
      <c r="L277" s="8"/>
      <c r="M277" s="8"/>
      <c r="N277" s="8"/>
      <c r="O277" s="8"/>
      <c r="P277" s="8"/>
      <c r="Q277" s="8"/>
      <c r="R277" s="8"/>
      <c r="S277" s="8"/>
      <c r="T277" s="8"/>
      <c r="U277" s="8"/>
      <c r="V277" s="8"/>
      <c r="W277" s="8"/>
      <c r="X277" s="8"/>
      <c r="Y277" s="8"/>
      <c r="Z277" s="8"/>
    </row>
    <row r="278" spans="1:26" ht="12.75" customHeight="1" x14ac:dyDescent="0.3">
      <c r="A278" s="8"/>
      <c r="B278" s="8"/>
      <c r="C278" s="8"/>
      <c r="D278" s="8"/>
      <c r="E278" s="8"/>
      <c r="F278" s="8"/>
      <c r="G278" s="8"/>
      <c r="H278" s="8"/>
      <c r="I278" s="89"/>
      <c r="J278" s="8"/>
      <c r="K278" s="8"/>
      <c r="L278" s="8"/>
      <c r="M278" s="8"/>
      <c r="N278" s="8"/>
      <c r="O278" s="8"/>
      <c r="P278" s="8"/>
      <c r="Q278" s="8"/>
      <c r="R278" s="8"/>
      <c r="S278" s="8"/>
      <c r="T278" s="8"/>
      <c r="U278" s="8"/>
      <c r="V278" s="8"/>
      <c r="W278" s="8"/>
      <c r="X278" s="8"/>
      <c r="Y278" s="8"/>
      <c r="Z278" s="8"/>
    </row>
    <row r="279" spans="1:26" ht="12.75" customHeight="1" x14ac:dyDescent="0.3">
      <c r="A279" s="8"/>
      <c r="B279" s="8"/>
      <c r="C279" s="8"/>
      <c r="D279" s="8"/>
      <c r="E279" s="8"/>
      <c r="F279" s="8"/>
      <c r="G279" s="8"/>
      <c r="H279" s="8"/>
      <c r="I279" s="89"/>
      <c r="J279" s="8"/>
      <c r="K279" s="8"/>
      <c r="L279" s="8"/>
      <c r="M279" s="8"/>
      <c r="N279" s="8"/>
      <c r="O279" s="8"/>
      <c r="P279" s="8"/>
      <c r="Q279" s="8"/>
      <c r="R279" s="8"/>
      <c r="S279" s="8"/>
      <c r="T279" s="8"/>
      <c r="U279" s="8"/>
      <c r="V279" s="8"/>
      <c r="W279" s="8"/>
      <c r="X279" s="8"/>
      <c r="Y279" s="8"/>
      <c r="Z279" s="8"/>
    </row>
    <row r="280" spans="1:26" ht="12.75" customHeight="1" x14ac:dyDescent="0.3">
      <c r="A280" s="8"/>
      <c r="B280" s="8"/>
      <c r="C280" s="8"/>
      <c r="D280" s="8"/>
      <c r="E280" s="8"/>
      <c r="F280" s="8"/>
      <c r="G280" s="8"/>
      <c r="H280" s="8"/>
      <c r="I280" s="89"/>
      <c r="J280" s="8"/>
      <c r="K280" s="8"/>
      <c r="L280" s="8"/>
      <c r="M280" s="8"/>
      <c r="N280" s="8"/>
      <c r="O280" s="8"/>
      <c r="P280" s="8"/>
      <c r="Q280" s="8"/>
      <c r="R280" s="8"/>
      <c r="S280" s="8"/>
      <c r="T280" s="8"/>
      <c r="U280" s="8"/>
      <c r="V280" s="8"/>
      <c r="W280" s="8"/>
      <c r="X280" s="8"/>
      <c r="Y280" s="8"/>
      <c r="Z280" s="8"/>
    </row>
    <row r="281" spans="1:26" ht="12.75" customHeight="1" x14ac:dyDescent="0.3">
      <c r="A281" s="8"/>
      <c r="B281" s="8"/>
      <c r="C281" s="8"/>
      <c r="D281" s="8"/>
      <c r="E281" s="8"/>
      <c r="F281" s="8"/>
      <c r="G281" s="8"/>
      <c r="H281" s="8"/>
      <c r="I281" s="89"/>
      <c r="J281" s="8"/>
      <c r="K281" s="8"/>
      <c r="L281" s="8"/>
      <c r="M281" s="8"/>
      <c r="N281" s="8"/>
      <c r="O281" s="8"/>
      <c r="P281" s="8"/>
      <c r="Q281" s="8"/>
      <c r="R281" s="8"/>
      <c r="S281" s="8"/>
      <c r="T281" s="8"/>
      <c r="U281" s="8"/>
      <c r="V281" s="8"/>
      <c r="W281" s="8"/>
      <c r="X281" s="8"/>
      <c r="Y281" s="8"/>
      <c r="Z281" s="8"/>
    </row>
    <row r="282" spans="1:26" ht="12.75" customHeight="1" x14ac:dyDescent="0.3">
      <c r="A282" s="8"/>
      <c r="B282" s="8"/>
      <c r="C282" s="8"/>
      <c r="D282" s="8"/>
      <c r="E282" s="8"/>
      <c r="F282" s="8"/>
      <c r="G282" s="8"/>
      <c r="H282" s="8"/>
      <c r="I282" s="89"/>
      <c r="J282" s="8"/>
      <c r="K282" s="8"/>
      <c r="L282" s="8"/>
      <c r="M282" s="8"/>
      <c r="N282" s="8"/>
      <c r="O282" s="8"/>
      <c r="P282" s="8"/>
      <c r="Q282" s="8"/>
      <c r="R282" s="8"/>
      <c r="S282" s="8"/>
      <c r="T282" s="8"/>
      <c r="U282" s="8"/>
      <c r="V282" s="8"/>
      <c r="W282" s="8"/>
      <c r="X282" s="8"/>
      <c r="Y282" s="8"/>
      <c r="Z282" s="8"/>
    </row>
    <row r="283" spans="1:26" ht="12.75" customHeight="1" x14ac:dyDescent="0.3">
      <c r="A283" s="8"/>
      <c r="B283" s="8"/>
      <c r="C283" s="8"/>
      <c r="D283" s="8"/>
      <c r="E283" s="8"/>
      <c r="F283" s="8"/>
      <c r="G283" s="8"/>
      <c r="H283" s="8"/>
      <c r="I283" s="89"/>
      <c r="J283" s="8"/>
      <c r="K283" s="8"/>
      <c r="L283" s="8"/>
      <c r="M283" s="8"/>
      <c r="N283" s="8"/>
      <c r="O283" s="8"/>
      <c r="P283" s="8"/>
      <c r="Q283" s="8"/>
      <c r="R283" s="8"/>
      <c r="S283" s="8"/>
      <c r="T283" s="8"/>
      <c r="U283" s="8"/>
      <c r="V283" s="8"/>
      <c r="W283" s="8"/>
      <c r="X283" s="8"/>
      <c r="Y283" s="8"/>
      <c r="Z283" s="8"/>
    </row>
    <row r="284" spans="1:26" ht="12.75" customHeight="1" x14ac:dyDescent="0.3">
      <c r="A284" s="8"/>
      <c r="B284" s="8"/>
      <c r="C284" s="8"/>
      <c r="D284" s="8"/>
      <c r="E284" s="8"/>
      <c r="F284" s="8"/>
      <c r="G284" s="8"/>
      <c r="H284" s="8"/>
      <c r="I284" s="89"/>
      <c r="J284" s="8"/>
      <c r="K284" s="8"/>
      <c r="L284" s="8"/>
      <c r="M284" s="8"/>
      <c r="N284" s="8"/>
      <c r="O284" s="8"/>
      <c r="P284" s="8"/>
      <c r="Q284" s="8"/>
      <c r="R284" s="8"/>
      <c r="S284" s="8"/>
      <c r="T284" s="8"/>
      <c r="U284" s="8"/>
      <c r="V284" s="8"/>
      <c r="W284" s="8"/>
      <c r="X284" s="8"/>
      <c r="Y284" s="8"/>
      <c r="Z284" s="8"/>
    </row>
    <row r="285" spans="1:26" ht="12.75" customHeight="1" x14ac:dyDescent="0.3">
      <c r="A285" s="8"/>
      <c r="B285" s="8"/>
      <c r="C285" s="8"/>
      <c r="D285" s="8"/>
      <c r="E285" s="8"/>
      <c r="F285" s="8"/>
      <c r="G285" s="8"/>
      <c r="H285" s="8"/>
      <c r="I285" s="89"/>
      <c r="J285" s="8"/>
      <c r="K285" s="8"/>
      <c r="L285" s="8"/>
      <c r="M285" s="8"/>
      <c r="N285" s="8"/>
      <c r="O285" s="8"/>
      <c r="P285" s="8"/>
      <c r="Q285" s="8"/>
      <c r="R285" s="8"/>
      <c r="S285" s="8"/>
      <c r="T285" s="8"/>
      <c r="U285" s="8"/>
      <c r="V285" s="8"/>
      <c r="W285" s="8"/>
      <c r="X285" s="8"/>
      <c r="Y285" s="8"/>
      <c r="Z285" s="8"/>
    </row>
    <row r="286" spans="1:26" ht="12.75" customHeight="1" x14ac:dyDescent="0.3">
      <c r="A286" s="8"/>
      <c r="B286" s="8"/>
      <c r="C286" s="8"/>
      <c r="D286" s="8"/>
      <c r="E286" s="8"/>
      <c r="F286" s="8"/>
      <c r="G286" s="8"/>
      <c r="H286" s="8"/>
      <c r="I286" s="89"/>
      <c r="J286" s="8"/>
      <c r="K286" s="8"/>
      <c r="L286" s="8"/>
      <c r="M286" s="8"/>
      <c r="N286" s="8"/>
      <c r="O286" s="8"/>
      <c r="P286" s="8"/>
      <c r="Q286" s="8"/>
      <c r="R286" s="8"/>
      <c r="S286" s="8"/>
      <c r="T286" s="8"/>
      <c r="U286" s="8"/>
      <c r="V286" s="8"/>
      <c r="W286" s="8"/>
      <c r="X286" s="8"/>
      <c r="Y286" s="8"/>
      <c r="Z286" s="8"/>
    </row>
    <row r="287" spans="1:26" ht="12.75" customHeight="1" x14ac:dyDescent="0.3">
      <c r="A287" s="8"/>
      <c r="B287" s="8"/>
      <c r="C287" s="8"/>
      <c r="D287" s="8"/>
      <c r="E287" s="8"/>
      <c r="F287" s="8"/>
      <c r="G287" s="8"/>
      <c r="H287" s="8"/>
      <c r="I287" s="89"/>
      <c r="J287" s="8"/>
      <c r="K287" s="8"/>
      <c r="L287" s="8"/>
      <c r="M287" s="8"/>
      <c r="N287" s="8"/>
      <c r="O287" s="8"/>
      <c r="P287" s="8"/>
      <c r="Q287" s="8"/>
      <c r="R287" s="8"/>
      <c r="S287" s="8"/>
      <c r="T287" s="8"/>
      <c r="U287" s="8"/>
      <c r="V287" s="8"/>
      <c r="W287" s="8"/>
      <c r="X287" s="8"/>
      <c r="Y287" s="8"/>
      <c r="Z287" s="8"/>
    </row>
    <row r="288" spans="1:26" ht="12.75" customHeight="1" x14ac:dyDescent="0.3">
      <c r="A288" s="8"/>
      <c r="B288" s="8"/>
      <c r="C288" s="8"/>
      <c r="D288" s="8"/>
      <c r="E288" s="8"/>
      <c r="F288" s="8"/>
      <c r="G288" s="8"/>
      <c r="H288" s="8"/>
      <c r="I288" s="89"/>
      <c r="J288" s="8"/>
      <c r="K288" s="8"/>
      <c r="L288" s="8"/>
      <c r="M288" s="8"/>
      <c r="N288" s="8"/>
      <c r="O288" s="8"/>
      <c r="P288" s="8"/>
      <c r="Q288" s="8"/>
      <c r="R288" s="8"/>
      <c r="S288" s="8"/>
      <c r="T288" s="8"/>
      <c r="U288" s="8"/>
      <c r="V288" s="8"/>
      <c r="W288" s="8"/>
      <c r="X288" s="8"/>
      <c r="Y288" s="8"/>
      <c r="Z288" s="8"/>
    </row>
    <row r="289" spans="1:26" ht="12.75" customHeight="1" x14ac:dyDescent="0.3">
      <c r="A289" s="8"/>
      <c r="B289" s="8"/>
      <c r="C289" s="8"/>
      <c r="D289" s="8"/>
      <c r="E289" s="8"/>
      <c r="F289" s="8"/>
      <c r="G289" s="8"/>
      <c r="H289" s="8"/>
      <c r="I289" s="89"/>
      <c r="J289" s="8"/>
      <c r="K289" s="8"/>
      <c r="L289" s="8"/>
      <c r="M289" s="8"/>
      <c r="N289" s="8"/>
      <c r="O289" s="8"/>
      <c r="P289" s="8"/>
      <c r="Q289" s="8"/>
      <c r="R289" s="8"/>
      <c r="S289" s="8"/>
      <c r="T289" s="8"/>
      <c r="U289" s="8"/>
      <c r="V289" s="8"/>
      <c r="W289" s="8"/>
      <c r="X289" s="8"/>
      <c r="Y289" s="8"/>
      <c r="Z289" s="8"/>
    </row>
    <row r="290" spans="1:26" ht="12.75" customHeight="1" x14ac:dyDescent="0.3">
      <c r="A290" s="8"/>
      <c r="B290" s="8"/>
      <c r="C290" s="8"/>
      <c r="D290" s="8"/>
      <c r="E290" s="8"/>
      <c r="F290" s="8"/>
      <c r="G290" s="8"/>
      <c r="H290" s="8"/>
      <c r="I290" s="89"/>
      <c r="J290" s="8"/>
      <c r="K290" s="8"/>
      <c r="L290" s="8"/>
      <c r="M290" s="8"/>
      <c r="N290" s="8"/>
      <c r="O290" s="8"/>
      <c r="P290" s="8"/>
      <c r="Q290" s="8"/>
      <c r="R290" s="8"/>
      <c r="S290" s="8"/>
      <c r="T290" s="8"/>
      <c r="U290" s="8"/>
      <c r="V290" s="8"/>
      <c r="W290" s="8"/>
      <c r="X290" s="8"/>
      <c r="Y290" s="8"/>
      <c r="Z290" s="8"/>
    </row>
    <row r="291" spans="1:26" ht="12.75" customHeight="1" x14ac:dyDescent="0.3">
      <c r="A291" s="8"/>
      <c r="B291" s="8"/>
      <c r="C291" s="8"/>
      <c r="D291" s="8"/>
      <c r="E291" s="8"/>
      <c r="F291" s="8"/>
      <c r="G291" s="8"/>
      <c r="H291" s="8"/>
      <c r="I291" s="89"/>
      <c r="J291" s="8"/>
      <c r="K291" s="8"/>
      <c r="L291" s="8"/>
      <c r="M291" s="8"/>
      <c r="N291" s="8"/>
      <c r="O291" s="8"/>
      <c r="P291" s="8"/>
      <c r="Q291" s="8"/>
      <c r="R291" s="8"/>
      <c r="S291" s="8"/>
      <c r="T291" s="8"/>
      <c r="U291" s="8"/>
      <c r="V291" s="8"/>
      <c r="W291" s="8"/>
      <c r="X291" s="8"/>
      <c r="Y291" s="8"/>
      <c r="Z291" s="8"/>
    </row>
    <row r="292" spans="1:26" ht="14.25" customHeight="1" x14ac:dyDescent="0.3"/>
    <row r="293" spans="1:26" ht="14.25" customHeight="1" x14ac:dyDescent="0.3"/>
    <row r="294" spans="1:26" ht="14.25" customHeight="1" x14ac:dyDescent="0.3"/>
    <row r="295" spans="1:26" ht="14.25" customHeight="1" x14ac:dyDescent="0.3"/>
    <row r="296" spans="1:26" ht="14.25" customHeight="1" x14ac:dyDescent="0.3"/>
    <row r="297" spans="1:26" ht="14.25" customHeight="1" x14ac:dyDescent="0.3"/>
    <row r="298" spans="1:26" ht="14.25" customHeight="1" x14ac:dyDescent="0.3"/>
    <row r="299" spans="1:26" ht="14.25" customHeight="1" x14ac:dyDescent="0.3"/>
    <row r="300" spans="1:26" ht="14.25" customHeight="1" x14ac:dyDescent="0.3"/>
    <row r="301" spans="1:26" ht="14.25" customHeight="1" x14ac:dyDescent="0.3"/>
    <row r="302" spans="1:26" ht="14.25" customHeight="1" x14ac:dyDescent="0.3"/>
    <row r="303" spans="1:26" ht="14.25" customHeight="1" x14ac:dyDescent="0.3"/>
    <row r="304" spans="1:26"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5">
    <mergeCell ref="B2:H2"/>
    <mergeCell ref="B3:H3"/>
    <mergeCell ref="B4:H4"/>
    <mergeCell ref="F5:H5"/>
    <mergeCell ref="F6:H6"/>
  </mergeCells>
  <dataValidations count="1">
    <dataValidation type="list" allowBlank="1" sqref="F9:F143">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10" zoomScaleNormal="100" workbookViewId="0">
      <selection activeCell="G5" sqref="G5:H5"/>
    </sheetView>
  </sheetViews>
  <sheetFormatPr defaultColWidth="14.44140625" defaultRowHeight="14.4" x14ac:dyDescent="0.3"/>
  <cols>
    <col min="1" max="1" width="10.33203125" style="1" customWidth="1"/>
    <col min="2" max="2" width="16.6640625" style="1" customWidth="1"/>
    <col min="3" max="3" width="41.109375" style="1" customWidth="1"/>
    <col min="4" max="6" width="10.33203125" style="1" customWidth="1"/>
    <col min="7" max="7" width="11.33203125" style="1" customWidth="1"/>
    <col min="8" max="8" width="13.6640625" style="1" customWidth="1"/>
    <col min="9" max="9" width="30.109375" style="1" customWidth="1"/>
    <col min="10" max="26" width="9.109375" style="1" customWidth="1"/>
  </cols>
  <sheetData>
    <row r="1" spans="1:26" ht="25.5" customHeight="1" x14ac:dyDescent="0.4">
      <c r="A1" s="8"/>
      <c r="B1" s="128" t="s">
        <v>1009</v>
      </c>
      <c r="C1" s="128"/>
      <c r="D1" s="128"/>
      <c r="E1" s="128"/>
      <c r="F1" s="128"/>
      <c r="G1" s="128"/>
      <c r="H1" s="128"/>
      <c r="I1" s="8"/>
      <c r="J1" s="8"/>
      <c r="K1" s="8"/>
      <c r="L1" s="8"/>
      <c r="M1" s="8"/>
      <c r="N1" s="8"/>
      <c r="O1" s="8"/>
      <c r="P1" s="8"/>
      <c r="Q1" s="8"/>
      <c r="R1" s="8"/>
      <c r="S1" s="8"/>
      <c r="T1" s="8"/>
      <c r="U1" s="8"/>
      <c r="V1" s="8"/>
      <c r="W1" s="8"/>
      <c r="X1" s="8"/>
      <c r="Y1" s="8"/>
      <c r="Z1" s="8"/>
    </row>
    <row r="2" spans="1:26" ht="14.25" customHeight="1" x14ac:dyDescent="0.3">
      <c r="A2" s="90"/>
      <c r="B2" s="90"/>
      <c r="C2" s="8"/>
      <c r="D2" s="8"/>
      <c r="E2" s="8"/>
      <c r="F2" s="8"/>
      <c r="G2" s="8"/>
      <c r="H2" s="91"/>
      <c r="I2" s="8"/>
      <c r="J2" s="8"/>
      <c r="K2" s="8"/>
      <c r="L2" s="8"/>
      <c r="M2" s="8"/>
      <c r="N2" s="8"/>
      <c r="O2" s="8"/>
      <c r="P2" s="8"/>
      <c r="Q2" s="8"/>
      <c r="R2" s="8"/>
      <c r="S2" s="8"/>
      <c r="T2" s="8"/>
      <c r="U2" s="8"/>
      <c r="V2" s="8"/>
      <c r="W2" s="8"/>
      <c r="X2" s="8"/>
      <c r="Y2" s="8"/>
      <c r="Z2" s="8"/>
    </row>
    <row r="3" spans="1:26" ht="12" customHeight="1" x14ac:dyDescent="0.3">
      <c r="A3" s="8"/>
      <c r="B3" s="11" t="s">
        <v>1</v>
      </c>
      <c r="C3" s="120" t="str">
        <f>Cover!C4</f>
        <v>nopCommerce Demo</v>
      </c>
      <c r="D3" s="120"/>
      <c r="E3" s="126" t="s">
        <v>3</v>
      </c>
      <c r="F3" s="126"/>
      <c r="G3" s="92" t="s">
        <v>4</v>
      </c>
      <c r="H3" s="93"/>
      <c r="I3" s="8"/>
      <c r="J3" s="8"/>
      <c r="K3" s="8"/>
      <c r="L3" s="8"/>
      <c r="M3" s="8"/>
      <c r="N3" s="8"/>
      <c r="O3" s="8"/>
      <c r="P3" s="8"/>
      <c r="Q3" s="8"/>
      <c r="R3" s="8"/>
      <c r="S3" s="8"/>
      <c r="T3" s="8"/>
      <c r="U3" s="8"/>
      <c r="V3" s="8"/>
      <c r="W3" s="8"/>
      <c r="X3" s="8"/>
      <c r="Y3" s="8"/>
      <c r="Z3" s="8"/>
    </row>
    <row r="4" spans="1:26" ht="12" customHeight="1" x14ac:dyDescent="0.3">
      <c r="A4" s="8"/>
      <c r="B4" s="11" t="s">
        <v>5</v>
      </c>
      <c r="C4" s="120" t="str">
        <f>Cover!C5</f>
        <v>NOP</v>
      </c>
      <c r="D4" s="120"/>
      <c r="E4" s="126" t="s">
        <v>7</v>
      </c>
      <c r="F4" s="126"/>
      <c r="G4" s="92" t="s">
        <v>8</v>
      </c>
      <c r="H4" s="93"/>
      <c r="I4" s="8"/>
      <c r="J4" s="8"/>
      <c r="K4" s="8"/>
      <c r="L4" s="8"/>
      <c r="M4" s="8"/>
      <c r="N4" s="8"/>
      <c r="O4" s="8"/>
      <c r="P4" s="8"/>
      <c r="Q4" s="8"/>
      <c r="R4" s="8"/>
      <c r="S4" s="8"/>
      <c r="T4" s="8"/>
      <c r="U4" s="8"/>
      <c r="V4" s="8"/>
      <c r="W4" s="8"/>
      <c r="X4" s="8"/>
      <c r="Y4" s="8"/>
      <c r="Z4" s="8"/>
    </row>
    <row r="5" spans="1:26" ht="12" customHeight="1" x14ac:dyDescent="0.3">
      <c r="A5" s="8"/>
      <c r="B5" s="94" t="s">
        <v>9</v>
      </c>
      <c r="C5" s="120" t="str">
        <f>C4&amp;"_"&amp;"Test Report"&amp;"_"&amp;"v0.1"</f>
        <v>NOP_Test Report_v0.1</v>
      </c>
      <c r="D5" s="120"/>
      <c r="E5" s="126" t="s">
        <v>10</v>
      </c>
      <c r="F5" s="126"/>
      <c r="G5" s="127">
        <v>46317</v>
      </c>
      <c r="H5" s="127"/>
      <c r="I5" s="8"/>
      <c r="J5" s="8"/>
      <c r="K5" s="8"/>
      <c r="L5" s="8"/>
      <c r="M5" s="8"/>
      <c r="N5" s="8"/>
      <c r="O5" s="8"/>
      <c r="P5" s="8"/>
      <c r="Q5" s="8"/>
      <c r="R5" s="8"/>
      <c r="S5" s="8"/>
      <c r="T5" s="8"/>
      <c r="U5" s="8"/>
      <c r="V5" s="8"/>
      <c r="W5" s="8"/>
      <c r="X5" s="8"/>
      <c r="Y5" s="8"/>
      <c r="Z5" s="8"/>
    </row>
    <row r="6" spans="1:26" ht="36.75" customHeight="1" x14ac:dyDescent="0.3">
      <c r="A6" s="90"/>
      <c r="B6" s="94" t="s">
        <v>1010</v>
      </c>
      <c r="C6" s="122" t="s">
        <v>1011</v>
      </c>
      <c r="D6" s="122"/>
      <c r="E6" s="122"/>
      <c r="F6" s="122"/>
      <c r="G6" s="122"/>
      <c r="H6" s="122"/>
      <c r="I6" s="8"/>
      <c r="J6" s="8"/>
      <c r="K6" s="8"/>
      <c r="L6" s="8"/>
      <c r="M6" s="8"/>
      <c r="N6" s="8"/>
      <c r="O6" s="8"/>
      <c r="P6" s="8"/>
      <c r="Q6" s="8"/>
      <c r="R6" s="8"/>
      <c r="S6" s="8"/>
      <c r="T6" s="8"/>
      <c r="U6" s="8"/>
      <c r="V6" s="8"/>
      <c r="W6" s="8"/>
      <c r="X6" s="8"/>
      <c r="Y6" s="8"/>
      <c r="Z6" s="8"/>
    </row>
    <row r="7" spans="1:26" ht="14.25" customHeight="1" x14ac:dyDescent="0.3">
      <c r="A7" s="90"/>
      <c r="B7" s="95"/>
      <c r="C7" s="96"/>
      <c r="D7" s="8"/>
      <c r="E7" s="8"/>
      <c r="F7" s="8"/>
      <c r="G7" s="8"/>
      <c r="H7" s="91"/>
      <c r="I7" s="8"/>
      <c r="J7" s="8"/>
      <c r="K7" s="8"/>
      <c r="L7" s="8"/>
      <c r="M7" s="8"/>
      <c r="N7" s="8"/>
      <c r="O7" s="8"/>
      <c r="P7" s="8"/>
      <c r="Q7" s="8"/>
      <c r="R7" s="8"/>
      <c r="S7" s="8"/>
      <c r="T7" s="8"/>
      <c r="U7" s="8"/>
      <c r="V7" s="8"/>
      <c r="W7" s="8"/>
      <c r="X7" s="8"/>
      <c r="Y7" s="8"/>
      <c r="Z7" s="8"/>
    </row>
    <row r="8" spans="1:26" ht="12.75" customHeight="1" x14ac:dyDescent="0.3">
      <c r="A8" s="8"/>
      <c r="B8" s="95"/>
      <c r="C8" s="96"/>
      <c r="D8" s="8"/>
      <c r="E8" s="8"/>
      <c r="F8" s="8"/>
      <c r="G8" s="8"/>
      <c r="H8" s="91"/>
      <c r="I8" s="8"/>
      <c r="J8" s="8"/>
      <c r="K8" s="8"/>
      <c r="L8" s="8"/>
      <c r="M8" s="8"/>
      <c r="N8" s="8"/>
      <c r="O8" s="8"/>
      <c r="P8" s="8"/>
      <c r="Q8" s="8"/>
      <c r="R8" s="8"/>
      <c r="S8" s="8"/>
      <c r="T8" s="8"/>
      <c r="U8" s="8"/>
      <c r="V8" s="8"/>
      <c r="W8" s="8"/>
      <c r="X8" s="8"/>
      <c r="Y8" s="8"/>
      <c r="Z8" s="8"/>
    </row>
    <row r="9" spans="1:26" ht="12.75" customHeight="1" x14ac:dyDescent="0.3">
      <c r="A9" s="8"/>
      <c r="B9" s="8"/>
      <c r="C9" s="8"/>
      <c r="D9" s="8"/>
      <c r="E9" s="8"/>
      <c r="F9" s="8"/>
      <c r="G9" s="8"/>
      <c r="H9" s="8"/>
      <c r="I9" s="8"/>
      <c r="J9" s="8"/>
      <c r="K9" s="8"/>
      <c r="L9" s="8"/>
      <c r="M9" s="8"/>
      <c r="N9" s="8"/>
      <c r="O9" s="8"/>
      <c r="P9" s="8"/>
      <c r="Q9" s="8"/>
      <c r="R9" s="8"/>
      <c r="S9" s="8"/>
      <c r="T9" s="8"/>
      <c r="U9" s="8"/>
      <c r="V9" s="8"/>
      <c r="W9" s="8"/>
      <c r="X9" s="8"/>
      <c r="Y9" s="8"/>
      <c r="Z9" s="8"/>
    </row>
    <row r="10" spans="1:26" ht="12.75" customHeight="1" x14ac:dyDescent="0.3">
      <c r="A10" s="97"/>
      <c r="B10" s="98" t="s">
        <v>27</v>
      </c>
      <c r="C10" s="99" t="s">
        <v>1012</v>
      </c>
      <c r="D10" s="100" t="s">
        <v>1013</v>
      </c>
      <c r="E10" s="99" t="s">
        <v>1014</v>
      </c>
      <c r="F10" s="99" t="s">
        <v>326</v>
      </c>
      <c r="G10" s="101" t="s">
        <v>325</v>
      </c>
      <c r="H10" s="102" t="s">
        <v>327</v>
      </c>
      <c r="I10" s="102" t="s">
        <v>1015</v>
      </c>
      <c r="J10" s="8"/>
      <c r="K10" s="8"/>
      <c r="L10" s="8"/>
      <c r="M10" s="8"/>
      <c r="N10" s="8"/>
      <c r="O10" s="8"/>
      <c r="P10" s="8"/>
      <c r="Q10" s="8"/>
      <c r="R10" s="8"/>
      <c r="S10" s="8"/>
      <c r="T10" s="8"/>
      <c r="U10" s="8"/>
      <c r="V10" s="8"/>
      <c r="W10" s="8"/>
      <c r="X10" s="8"/>
      <c r="Y10" s="8"/>
      <c r="Z10" s="8"/>
    </row>
    <row r="11" spans="1:26" ht="12.75" customHeight="1" x14ac:dyDescent="0.3">
      <c r="A11" s="97"/>
      <c r="B11" s="103">
        <v>1</v>
      </c>
      <c r="C11" s="104" t="str">
        <f>'User - Register-Login-Logout'!B2</f>
        <v>User - Register-Login-Logout</v>
      </c>
      <c r="D11" s="105">
        <f>'User - Register-Login-Logout'!A6</f>
        <v>58</v>
      </c>
      <c r="E11" s="105">
        <f>'User - Register-Login-Logout'!B6</f>
        <v>25</v>
      </c>
      <c r="F11" s="105">
        <f>'User - Register-Login-Logout'!C6</f>
        <v>0</v>
      </c>
      <c r="G11" s="105">
        <f>'User - Register-Login-Logout'!D6</f>
        <v>0</v>
      </c>
      <c r="H11" s="105">
        <f>'User - Register-Login-Logout'!E6</f>
        <v>0</v>
      </c>
      <c r="I11" s="106">
        <f>'User - Register-Login-Logout'!F6</f>
        <v>83</v>
      </c>
      <c r="J11" s="8"/>
      <c r="K11" s="8"/>
      <c r="L11" s="8"/>
      <c r="M11" s="8"/>
      <c r="N11" s="8"/>
      <c r="O11" s="8"/>
      <c r="P11" s="8"/>
      <c r="Q11" s="8"/>
      <c r="R11" s="8"/>
      <c r="S11" s="8"/>
      <c r="T11" s="8"/>
      <c r="U11" s="8"/>
      <c r="V11" s="8"/>
      <c r="W11" s="8"/>
      <c r="X11" s="8"/>
      <c r="Y11" s="8"/>
      <c r="Z11" s="8"/>
    </row>
    <row r="12" spans="1:26" ht="12.75" customHeight="1" x14ac:dyDescent="0.3">
      <c r="A12" s="97"/>
      <c r="B12" s="103">
        <v>2</v>
      </c>
      <c r="C12" s="104" t="str">
        <f>'Admin - Promotions - Discounts'!B2</f>
        <v>Admin - Promotions - Discounts</v>
      </c>
      <c r="D12" s="105">
        <f>'Admin - Promotions - Discounts'!A6</f>
        <v>38</v>
      </c>
      <c r="E12" s="105">
        <f>'Admin - Promotions - Discounts'!B6</f>
        <v>10</v>
      </c>
      <c r="F12" s="105">
        <f>'Admin - Promotions - Discounts'!C6</f>
        <v>0</v>
      </c>
      <c r="G12" s="105">
        <f>'Admin - Promotions - Discounts'!D6</f>
        <v>0</v>
      </c>
      <c r="H12" s="105">
        <f>'Admin - Promotions - Discounts'!E6</f>
        <v>0</v>
      </c>
      <c r="I12" s="106">
        <f>'Admin - Promotions - Discounts'!F6</f>
        <v>48</v>
      </c>
      <c r="J12" s="8"/>
      <c r="K12" s="8"/>
      <c r="L12" s="8"/>
      <c r="M12" s="8"/>
      <c r="N12" s="8"/>
      <c r="O12" s="8"/>
      <c r="P12" s="8"/>
      <c r="Q12" s="8"/>
      <c r="R12" s="8"/>
      <c r="S12" s="8"/>
      <c r="T12" s="8"/>
      <c r="U12" s="8"/>
      <c r="V12" s="8"/>
      <c r="W12" s="8"/>
      <c r="X12" s="8"/>
      <c r="Y12" s="8"/>
      <c r="Z12" s="8"/>
    </row>
    <row r="13" spans="1:26" ht="12.75" customHeight="1" x14ac:dyDescent="0.3">
      <c r="A13" s="97"/>
      <c r="B13" s="103">
        <v>3</v>
      </c>
      <c r="C13" s="104" t="str">
        <f>'Admin - Promotions - Affiliates'!B2</f>
        <v>Admin - Promotions - Affiliates</v>
      </c>
      <c r="D13" s="105">
        <f>'Admin - Promotions - Affiliates'!A6</f>
        <v>0</v>
      </c>
      <c r="E13" s="105">
        <f>'Admin - Promotions - Affiliates'!B6</f>
        <v>0</v>
      </c>
      <c r="F13" s="105">
        <f>'Admin - Promotions - Affiliates'!C6</f>
        <v>42</v>
      </c>
      <c r="G13" s="105">
        <f>'Admin - Promotions - Affiliates'!D6</f>
        <v>0</v>
      </c>
      <c r="H13" s="105">
        <f>'Admin - Promotions - Affiliates'!E6</f>
        <v>0</v>
      </c>
      <c r="I13" s="106">
        <f>'Admin - Promotions - Affiliates'!F6</f>
        <v>42</v>
      </c>
      <c r="J13" s="8"/>
      <c r="K13" s="8"/>
      <c r="L13" s="8"/>
      <c r="M13" s="8"/>
      <c r="N13" s="8"/>
      <c r="O13" s="8"/>
      <c r="P13" s="8"/>
      <c r="Q13" s="8"/>
      <c r="R13" s="8"/>
      <c r="S13" s="8"/>
      <c r="T13" s="8"/>
      <c r="U13" s="8"/>
      <c r="V13" s="8"/>
      <c r="W13" s="8"/>
      <c r="X13" s="8"/>
      <c r="Y13" s="8"/>
      <c r="Z13" s="8"/>
    </row>
    <row r="14" spans="1:26" ht="12.75" customHeight="1" x14ac:dyDescent="0.3">
      <c r="A14" s="97"/>
      <c r="B14" s="103">
        <v>4</v>
      </c>
      <c r="C14" s="104" t="str">
        <f>'Admin - Promotions - Newsletter'!B2</f>
        <v>Admin - Promotions - Newsletter subscribers</v>
      </c>
      <c r="D14" s="105">
        <f>'Admin - Promotions - Newsletter'!A6</f>
        <v>49</v>
      </c>
      <c r="E14" s="105">
        <f>'Admin - Promotions - Newsletter'!B6</f>
        <v>12</v>
      </c>
      <c r="F14" s="105">
        <f>'Admin - Promotions - Newsletter'!C6</f>
        <v>0</v>
      </c>
      <c r="G14" s="105">
        <f>'Admin - Promotions - Newsletter'!D6</f>
        <v>0</v>
      </c>
      <c r="H14" s="105">
        <f>'Admin - Promotions - Newsletter'!E6</f>
        <v>0</v>
      </c>
      <c r="I14" s="106">
        <f>'Admin - Promotions - Newsletter'!F6</f>
        <v>61</v>
      </c>
      <c r="J14" s="8"/>
      <c r="K14" s="8"/>
      <c r="L14" s="8"/>
      <c r="M14" s="8"/>
      <c r="N14" s="8"/>
      <c r="O14" s="8"/>
      <c r="P14" s="8"/>
      <c r="Q14" s="8"/>
      <c r="R14" s="8"/>
      <c r="S14" s="8"/>
      <c r="T14" s="8"/>
      <c r="U14" s="8"/>
      <c r="V14" s="8"/>
      <c r="W14" s="8"/>
      <c r="X14" s="8"/>
      <c r="Y14" s="8"/>
      <c r="Z14" s="8"/>
    </row>
    <row r="15" spans="1:26" ht="12.75" customHeight="1" x14ac:dyDescent="0.3">
      <c r="A15" s="8"/>
      <c r="B15" s="107"/>
      <c r="C15" s="108" t="s">
        <v>1016</v>
      </c>
      <c r="D15" s="109">
        <f t="shared" ref="D15:I15" si="0">SUM(D11:D14)</f>
        <v>145</v>
      </c>
      <c r="E15" s="109">
        <f t="shared" si="0"/>
        <v>47</v>
      </c>
      <c r="F15" s="109">
        <f t="shared" si="0"/>
        <v>42</v>
      </c>
      <c r="G15" s="109">
        <f t="shared" si="0"/>
        <v>0</v>
      </c>
      <c r="H15" s="110">
        <f t="shared" si="0"/>
        <v>0</v>
      </c>
      <c r="I15" s="110">
        <f t="shared" si="0"/>
        <v>234</v>
      </c>
      <c r="J15" s="8"/>
      <c r="K15" s="8"/>
      <c r="L15" s="8"/>
      <c r="M15" s="8"/>
      <c r="N15" s="8"/>
      <c r="O15" s="8"/>
      <c r="P15" s="8"/>
      <c r="Q15" s="8"/>
      <c r="R15" s="8"/>
      <c r="S15" s="8"/>
      <c r="T15" s="8"/>
      <c r="U15" s="8"/>
      <c r="V15" s="8"/>
      <c r="W15" s="8"/>
      <c r="X15" s="8"/>
      <c r="Y15" s="8"/>
      <c r="Z15" s="8"/>
    </row>
    <row r="16" spans="1:26" ht="12.75" customHeight="1" x14ac:dyDescent="0.3">
      <c r="A16" s="8"/>
      <c r="B16" s="111"/>
      <c r="C16" s="8"/>
      <c r="D16" s="112"/>
      <c r="E16" s="113"/>
      <c r="F16" s="113"/>
      <c r="G16" s="113"/>
      <c r="H16" s="113"/>
      <c r="I16" s="8"/>
      <c r="J16" s="8"/>
      <c r="K16" s="8"/>
      <c r="L16" s="8"/>
      <c r="M16" s="8"/>
      <c r="N16" s="8"/>
      <c r="O16" s="8"/>
      <c r="P16" s="8"/>
      <c r="Q16" s="8"/>
      <c r="R16" s="8"/>
      <c r="S16" s="8"/>
      <c r="T16" s="8"/>
      <c r="U16" s="8"/>
      <c r="V16" s="8"/>
      <c r="W16" s="8"/>
      <c r="X16" s="8"/>
      <c r="Y16" s="8"/>
      <c r="Z16" s="8"/>
    </row>
    <row r="17" spans="1:26" ht="12.75" customHeight="1" x14ac:dyDescent="0.3">
      <c r="A17" s="8"/>
      <c r="B17" s="8"/>
      <c r="C17" s="6" t="s">
        <v>1017</v>
      </c>
      <c r="D17" s="8"/>
      <c r="E17" s="114">
        <f>IF(I15-H15-G15=0,0,(D15+E15)*100/(I15-H15-G15))</f>
        <v>82.051282051282058</v>
      </c>
      <c r="F17" s="8" t="s">
        <v>1018</v>
      </c>
      <c r="G17" s="8"/>
      <c r="H17" s="75"/>
      <c r="I17" s="8"/>
      <c r="J17" s="8"/>
      <c r="K17" s="8"/>
      <c r="L17" s="8"/>
      <c r="M17" s="8"/>
      <c r="N17" s="8"/>
      <c r="O17" s="8"/>
      <c r="P17" s="8"/>
      <c r="Q17" s="8"/>
      <c r="R17" s="8"/>
      <c r="S17" s="8"/>
      <c r="T17" s="8"/>
      <c r="U17" s="8"/>
      <c r="V17" s="8"/>
      <c r="W17" s="8"/>
      <c r="X17" s="8"/>
      <c r="Y17" s="8"/>
      <c r="Z17" s="8"/>
    </row>
    <row r="18" spans="1:26" ht="12.75" customHeight="1" x14ac:dyDescent="0.3">
      <c r="A18" s="8"/>
      <c r="B18" s="8"/>
      <c r="C18" s="6" t="s">
        <v>1019</v>
      </c>
      <c r="D18" s="8"/>
      <c r="E18" s="114">
        <f>IF(D15+E15=0,0,D15*100/(D15+E15))</f>
        <v>75.520833333333329</v>
      </c>
      <c r="F18" s="8" t="s">
        <v>1018</v>
      </c>
      <c r="G18" s="8"/>
      <c r="H18" s="75"/>
      <c r="I18" s="8"/>
      <c r="J18" s="8"/>
      <c r="K18" s="8"/>
      <c r="L18" s="8"/>
      <c r="M18" s="8"/>
      <c r="N18" s="8"/>
      <c r="O18" s="8"/>
      <c r="P18" s="8"/>
      <c r="Q18" s="8"/>
      <c r="R18" s="8"/>
      <c r="S18" s="8"/>
      <c r="T18" s="8"/>
      <c r="U18" s="8"/>
      <c r="V18" s="8"/>
      <c r="W18" s="8"/>
      <c r="X18" s="8"/>
      <c r="Y18" s="8"/>
      <c r="Z18" s="8"/>
    </row>
    <row r="19" spans="1:26" ht="12.75" customHeight="1"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x14ac:dyDescent="0.3"/>
    <row r="222" spans="1:26" ht="14.25" customHeight="1" x14ac:dyDescent="0.3"/>
    <row r="223" spans="1:26" ht="14.25" customHeight="1" x14ac:dyDescent="0.3"/>
    <row r="224" spans="1:26"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9">
    <mergeCell ref="C5:D5"/>
    <mergeCell ref="E5:F5"/>
    <mergeCell ref="G5:H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Cover</vt:lpstr>
      <vt:lpstr>Test case List</vt:lpstr>
      <vt:lpstr>TestDesign</vt:lpstr>
      <vt:lpstr>User - Register-Login-Logout</vt:lpstr>
      <vt:lpstr>Admin - Promotions - Discounts</vt:lpstr>
      <vt:lpstr>Admin - Promotions - Affiliates</vt:lpstr>
      <vt:lpstr>Admin - Promotions - Newsletter</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Trần Minh</cp:lastModifiedBy>
  <cp:revision>0</cp:revision>
  <dcterms:created xsi:type="dcterms:W3CDTF">2026-10-23T07:22:12Z</dcterms:created>
  <dcterms:modified xsi:type="dcterms:W3CDTF">2026-10-30T14:47:20Z</dcterms:modified>
  <dc:language>en-US</dc:language>
</cp:coreProperties>
</file>