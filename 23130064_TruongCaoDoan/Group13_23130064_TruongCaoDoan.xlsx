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n4k1\test\gh\Tester\23130064_TruongCaoDoan\"/>
    </mc:Choice>
  </mc:AlternateContent>
  <xr:revisionPtr revIDLastSave="0" documentId="13_ncr:1_{5EF982EC-322E-4881-A4BB-0A39AF01F5C0}" xr6:coauthVersionLast="47" xr6:coauthVersionMax="47" xr10:uidLastSave="{00000000-0000-0000-0000-000000000000}"/>
  <bookViews>
    <workbookView xWindow="-108" yWindow="-108" windowWidth="23256" windowHeight="12456" firstSheet="1" activeTab="6" xr2:uid="{00000000-000D-0000-FFFF-FFFF00000000}"/>
  </bookViews>
  <sheets>
    <sheet name="Cover" sheetId="1" r:id="rId1"/>
    <sheet name="Test case List" sheetId="2" r:id="rId2"/>
    <sheet name="TestDesign" sheetId="3" r:id="rId3"/>
    <sheet name="Admin - Orders" sheetId="4" r:id="rId4"/>
    <sheet name="Admin - Shipments" sheetId="5" r:id="rId5"/>
    <sheet name="Admin - Gift cards" sheetId="6" r:id="rId6"/>
    <sheet name="Test Repor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7" l="1"/>
  <c r="F6" i="6"/>
  <c r="E6" i="6"/>
  <c r="H13" i="7" s="1"/>
  <c r="D6" i="6"/>
  <c r="G13" i="7" s="1"/>
  <c r="C6" i="6"/>
  <c r="F13" i="7" s="1"/>
  <c r="B6" i="6"/>
  <c r="E13" i="7" s="1"/>
  <c r="A6" i="6"/>
  <c r="D13" i="7" s="1"/>
  <c r="F6" i="5"/>
  <c r="I12" i="7" s="1"/>
  <c r="E6" i="5"/>
  <c r="H12" i="7" s="1"/>
  <c r="D6" i="5"/>
  <c r="G12" i="7" s="1"/>
  <c r="C6" i="5"/>
  <c r="F12" i="7" s="1"/>
  <c r="B6" i="5"/>
  <c r="E12" i="7" s="1"/>
  <c r="A6" i="5"/>
  <c r="D12" i="7" s="1"/>
  <c r="F6" i="4"/>
  <c r="I11" i="7" s="1"/>
  <c r="E6" i="4"/>
  <c r="H11" i="7" s="1"/>
  <c r="D6" i="4"/>
  <c r="G11" i="7" s="1"/>
  <c r="C6" i="4"/>
  <c r="F11" i="7" s="1"/>
  <c r="B6" i="4"/>
  <c r="E11" i="7" s="1"/>
  <c r="A6" i="4"/>
  <c r="D11" i="7" s="1"/>
  <c r="G14" i="7" l="1"/>
  <c r="D14" i="7"/>
  <c r="E14" i="7"/>
  <c r="H14" i="7"/>
  <c r="I14" i="7"/>
  <c r="F14" i="7"/>
  <c r="E17" i="7" l="1"/>
  <c r="E16" i="7"/>
</calcChain>
</file>

<file path=xl/sharedStrings.xml><?xml version="1.0" encoding="utf-8"?>
<sst xmlns="http://schemas.openxmlformats.org/spreadsheetml/2006/main" count="863" uniqueCount="477">
  <si>
    <t>TEST CASE SPECIFICATION</t>
  </si>
  <si>
    <t>Project Name</t>
  </si>
  <si>
    <t>nopCommerce - Admin Sales Management</t>
  </si>
  <si>
    <t>Creator</t>
  </si>
  <si>
    <t>Trương Cao Đoàn</t>
  </si>
  <si>
    <t>TEST CASE LIST</t>
  </si>
  <si>
    <t>Project Code</t>
  </si>
  <si>
    <t>NOP-SALES-2026</t>
  </si>
  <si>
    <t>Reviewer/Approver</t>
  </si>
  <si>
    <t>ThS. Trần Thị Thanh Nga</t>
  </si>
  <si>
    <t>Document Code</t>
  </si>
  <si>
    <t>NOP-SALES_TestCase_V1.0</t>
  </si>
  <si>
    <t>Issue Date</t>
  </si>
  <si>
    <t>2026-10-21</t>
  </si>
  <si>
    <t>AUT (URL)</t>
  </si>
  <si>
    <t>https://admin-demo.nopcommerce.com/Admin</t>
  </si>
  <si>
    <t>Version</t>
  </si>
  <si>
    <t>1.0</t>
  </si>
  <si>
    <t>Record of change</t>
  </si>
  <si>
    <t>nopCommerce Admin Sales Management</t>
  </si>
  <si>
    <t>Effective Date</t>
  </si>
  <si>
    <t>Test Environment Setup Description</t>
  </si>
  <si>
    <t>1. Server: ASP.NET Core E-commerce Server
2. Database: MS SQL Server / SQLite Demo DB
3. Trình duyệt web: Google Chrome (Bản mới nhất)
4. Phân hệ Admin: https://admin-demo.nopcommerce.com/Admin
5. Tài khoản quản trị: admin@yourstore.com / admin</t>
  </si>
  <si>
    <t>Change Item</t>
  </si>
  <si>
    <t>*A,D,M</t>
  </si>
  <si>
    <t>Change description</t>
  </si>
  <si>
    <t>Reference</t>
  </si>
  <si>
    <t>No</t>
  </si>
  <si>
    <t>Function Name</t>
  </si>
  <si>
    <t>Sheet Name</t>
  </si>
  <si>
    <t>Description</t>
  </si>
  <si>
    <t>A</t>
  </si>
  <si>
    <t>Pre-Condition</t>
  </si>
  <si>
    <t>Quản lý Đơn hàng (Orders)</t>
  </si>
  <si>
    <t>Requirement Level 1</t>
  </si>
  <si>
    <t>Admin - Orders</t>
  </si>
  <si>
    <t>Requirement Level 2</t>
  </si>
  <si>
    <t>Kiểm thử tìm kiếm, lọc theo ngày/trạng thái, chi tiết, thay đổi tổng tiền, thêm sản phẩm, đổi trạng thái và xuất dữ liệu (44 TCs)</t>
  </si>
  <si>
    <t>Đăng nhập với tài khoản Quản trị viên (Admin)</t>
  </si>
  <si>
    <t>Requirement Level 3</t>
  </si>
  <si>
    <t>Quản lý Giao hàng (Shipments)</t>
  </si>
  <si>
    <t>Test Criteria</t>
  </si>
  <si>
    <t>Admin - Shipments</t>
  </si>
  <si>
    <t>Module Code</t>
  </si>
  <si>
    <t>Test Type</t>
  </si>
  <si>
    <t>Kiểm thử danh sách chuyến hàng, lọc theo mã vận đơn/quốc gia/ngày xuất kho, cập nhật shipped/delivered (20 TCs)</t>
  </si>
  <si>
    <t>Note</t>
  </si>
  <si>
    <t>Quản lý Thẻ quà tặng (Gift cards)</t>
  </si>
  <si>
    <t>1. Quản lý bán hàng (Admin - Sales)</t>
  </si>
  <si>
    <t>Admin - Gift cards</t>
  </si>
  <si>
    <t>Admin_Orders</t>
  </si>
  <si>
    <t>Kiểm thử danh sách, sinh mã tự động, thêm mới thẻ quà tặng và kích hoạt/vô hiệu hóa thẻ (20 TCs)</t>
  </si>
  <si>
    <t>Test requirement</t>
  </si>
  <si>
    <t>Quản lý Đơn hàng (Admin - Orders)</t>
  </si>
  <si>
    <t>Tester</t>
  </si>
  <si>
    <t>1.1 Orders (Đơn hàng)</t>
  </si>
  <si>
    <t>Hiển thị</t>
  </si>
  <si>
    <t>Passed</t>
  </si>
  <si>
    <t>Kiểm tra hiển thị màn hình danh sách đơn hàng khi click [Sales &gt; Orders]</t>
  </si>
  <si>
    <t>GUI</t>
  </si>
  <si>
    <t>Failed</t>
  </si>
  <si>
    <t>Untested</t>
  </si>
  <si>
    <t>Blocked</t>
  </si>
  <si>
    <t>Kiểm tra trạng thái hiển thị mặc định của bảng đơn hàng</t>
  </si>
  <si>
    <t>Skipped</t>
  </si>
  <si>
    <t>Number of Test cases</t>
  </si>
  <si>
    <t>Kiểm tra bố cục và các cột dữ liệu (Mã đơn, Trạng thái đơn, Trạng thái thanh toán, Trạng thái giao hàng, Khách hàng, Cửa hàng, Ngày tạo, Tổng tiền, Nút xem)</t>
  </si>
  <si>
    <t>Lọc theo ngày</t>
  </si>
  <si>
    <t>Kiểm tra lọc với Từ ngày và Đến ngày hợp lệ (Từ ngày &lt;= Đến ngày)</t>
  </si>
  <si>
    <t>Function</t>
  </si>
  <si>
    <t>Kiểm tra lọc với Từ ngày &gt; Đến ngày</t>
  </si>
  <si>
    <t>Kiểm tra lọc khi chỉ nhập Từ ngày</t>
  </si>
  <si>
    <t>Kiểm tra lọc khi chỉ nhập Đến ngày</t>
  </si>
  <si>
    <t>Lọc theo trạng thái</t>
  </si>
  <si>
    <t>Kiểm tra lọc theo Trạng thái đơn hàng = 'Pending'</t>
  </si>
  <si>
    <t>Kiểm tra lọc theo Trạng thái đơn hàng = 'Processing'</t>
  </si>
  <si>
    <t>Kiểm tra lọc theo Trạng thái đơn hàng = 'Complete'</t>
  </si>
  <si>
    <t>Kiểm tra lọc theo Trạng thái đơn hàng = 'Cancelled'</t>
  </si>
  <si>
    <t>Kiểm tra lọc theo Trạng thái thanh toán = 'Pending'</t>
  </si>
  <si>
    <t>Kiểm tra lọc theo Trạng thái thanh toán = 'Authorized'</t>
  </si>
  <si>
    <t>Kiểm tra lọc theo Trạng thái thanh toán = 'Paid'</t>
  </si>
  <si>
    <t>Kiểm tra lọc theo Trạng thái thanh toán = 'Refunded'</t>
  </si>
  <si>
    <t>Kiểm tra lọc theo Trạng thái thanh toán = 'Void'</t>
  </si>
  <si>
    <t>Kiểm tra lọc theo Trạng thái thanh toán = 'Partially Refunded'</t>
  </si>
  <si>
    <t>Kiểm tra lọc theo Trạng thái giao hàng = 'Not yet shipped'</t>
  </si>
  <si>
    <t>Kiểm tra lọc theo Trạng thái giao hàng = 'Shipped'</t>
  </si>
  <si>
    <t>Kiểm tra lọc theo Trạng thái giao hàng = 'Delivered'</t>
  </si>
  <si>
    <t>Tìm kiếm theo trường</t>
  </si>
  <si>
    <t>Kiểm tra tìm kiếm theo Email thanh toán với email đang tồn tại trong hệ thống</t>
  </si>
  <si>
    <t>Kiểm tra tìm kiếm theo Email thanh toán với sai cú pháp email</t>
  </si>
  <si>
    <t>Kiểm tra tìm kiếm theo Tên khách hàng (Billing Last Name)</t>
  </si>
  <si>
    <t>Kiểm tra tìm kiếm theo từ khóa trong Ghi chú đơn hàng (Order notes)</t>
  </si>
  <si>
    <t>Phân trang</t>
  </si>
  <si>
    <t>Kiểm tra chuyển sang trang kế tiếp</t>
  </si>
  <si>
    <t>Kiểm tra quay lại trang trước đó</t>
  </si>
  <si>
    <t>Kiểm tra thay đổi số lượng bản ghi hiển thị trên trang (15, 20, 50, 100 dòng/trang)</t>
  </si>
  <si>
    <t>Chi tiết đơn hàng</t>
  </si>
  <si>
    <t>Kiểm tra điều hướng vào trang Chi tiết đơn hàng khi click nút [View]</t>
  </si>
  <si>
    <t>Kiểm tra bố cục trang Chi tiết đơn hàng (tab Thông tin chung, Địa chỉ, Danh sách sản phẩm, Ghi chú)</t>
  </si>
  <si>
    <t>Thay đổi tổng tiền của đơn hàng</t>
  </si>
  <si>
    <t>Kiểm tra thay đổi tổng tiền đơn hàng với số âm</t>
  </si>
  <si>
    <t>ID</t>
  </si>
  <si>
    <t>Test Case Description</t>
  </si>
  <si>
    <t>Kiểm tra thay đổi tổng tiền của đơn hàng với số tiền cực lớn</t>
  </si>
  <si>
    <t>Test Case Procedure</t>
  </si>
  <si>
    <t>Expected Output</t>
  </si>
  <si>
    <t>Inter-test case Dependence</t>
  </si>
  <si>
    <t>Result</t>
  </si>
  <si>
    <t>Kiểm tra thay đổi tổng tiền của đơn hàng với số tiền thực tế</t>
  </si>
  <si>
    <t>Test date</t>
  </si>
  <si>
    <t>Đổi trạng thái đơn</t>
  </si>
  <si>
    <t>admin_ord_01</t>
  </si>
  <si>
    <t>Kiểm tra cập nhật trạng thái đơn hàng từ 'Pending' sang 'Processing'</t>
  </si>
  <si>
    <t>Kiểm tra hiển thị màn hình danh sách đơn hàng khi click [admin &gt; Orders]</t>
  </si>
  <si>
    <t>Kiểm tra cập nhật trạng thái đơn hàng từ 'Processing' sang 'Complete'</t>
  </si>
  <si>
    <t>Pre-condition:
+ Đăng nhập tài khoản Quản trị viên (Admin).
Step:
1. Tại thanh menu bên trái, click chọn [admin]
2. Click chọn mục con [Orders]</t>
  </si>
  <si>
    <t>1. Màn hình Quản lý đơn hàng hiển thị chính xác.
2. Khung lọc tìm kiếm, các nút chức năng và bảng dữ liệu hiển thị đúng chuẩn GUI.</t>
  </si>
  <si>
    <t>Kiểm tra hủy đơn hàng và chuyển trạng thái sang 'Cancelled'</t>
  </si>
  <si>
    <t>None</t>
  </si>
  <si>
    <t>Ghi chú đơn hàng</t>
  </si>
  <si>
    <t>admin_ord_02</t>
  </si>
  <si>
    <t>Kiểm tra thêm ghi chú đơn hàng có chọn 'Display to customer'</t>
  </si>
  <si>
    <t>Step:
1. Mở màn hình Orders
2. Quan sát các tiêu chí lọc mặc định và bảng danh sách</t>
  </si>
  <si>
    <t>1. Các dropdown trạng thái hiển thị mặc định là 'All'.
2. Bảng dữ liệu hiển thị danh sách toàn bộ các đơn hàng hiện có trong hệ thống.</t>
  </si>
  <si>
    <t>Kiểm tra thêm ghi chú đơn hàng không chọn 'Display to customer'</t>
  </si>
  <si>
    <t>admin_ord_03</t>
  </si>
  <si>
    <t>Kiểm tra xóa một ghi chú đơn hàng</t>
  </si>
  <si>
    <t>Kiểm tra bố cục và các cột dữ liệu trên bảng đơn hàng</t>
  </si>
  <si>
    <t>Step:
1. Quan sát hàng tiêu đề của bảng dữ liệu đơn hàng</t>
  </si>
  <si>
    <t>Xuất dữ liệu &amp; In ấn</t>
  </si>
  <si>
    <t>1. Bảng hiển thị đầy đủ các cột: Mã đơn (Order #), Trạng thái đơn (Order status), Trạng thái thanh toán (Payment status), Trạng thái giao hàng (Shipping status), Khách hàng (Customer), Cửa hàng (Store), Ngày tạo (Created on), Tổng tiền (Order total), Nút xem (View).</t>
  </si>
  <si>
    <t>Kiểm tra xuất các đơn hàng đã chọn ra tệp Excel (.xlsx)</t>
  </si>
  <si>
    <t>Kiểm tra xuất tất cả đơn hàng ra tệp Excel (.xlsx)</t>
  </si>
  <si>
    <t>admin_ord_04</t>
  </si>
  <si>
    <t>Kiểm tra in hóa đơn PDF cho các đơn hàng được chọn</t>
  </si>
  <si>
    <t>Kiểm tra lọc đơn hàng với khoảng ngày hợp lệ (Từ ngày &lt;= Đến ngày)</t>
  </si>
  <si>
    <t>Step:
1. Chọn Start date = '2026-10-01'
2. Chọn End date = '2026-10-20'
3. Click nút [Search]</t>
  </si>
  <si>
    <t>1. Danh sách chỉ hiển thị các đơn hàng được tạo trong khoảng từ 2026-10-01 00:00:00 đến 2026-10-20 23:59:59.</t>
  </si>
  <si>
    <t>Kiểm tra in hóa đơn PDF cho tất cả đơn hàng</t>
  </si>
  <si>
    <t>admin_ord_05</t>
  </si>
  <si>
    <t>Thêm sản phẩm vào đơn hàng</t>
  </si>
  <si>
    <t>Kiểm tra lọc đơn hàng với khoảng ngày không hợp lệ (Từ ngày &gt; Đến ngày)</t>
  </si>
  <si>
    <t>Step:
1. Chọn Start date = '2026-10-20'
2. Chọn End date = '2026-10-01'
3. Click nút [Search]</t>
  </si>
  <si>
    <t>1. Hệ thống hiển thị cảnh báo khoảng ngày không hợp lệ.
2. Bảng dữ liệu hiển thị 'No data available in table'.</t>
  </si>
  <si>
    <t>Kiểm tra thêm sản phẩm vào đơn hàng với số lượng sản phẩm là số âm</t>
  </si>
  <si>
    <t>admin_ord_06</t>
  </si>
  <si>
    <t>Kiểm tra lọc đơn hàng khi chỉ nhập Từ ngày (Start date)</t>
  </si>
  <si>
    <t>Kiểm tra thêm sản phẩm vào đơn hàng với giá sản phẩm được thêm là số âm</t>
  </si>
  <si>
    <t>Step:
1. Nhập Start date = '2026-10-01'
2. Để trống End date
3. Click nút [Search]</t>
  </si>
  <si>
    <t>1. Danh sách hiển thị tất cả các đơn hàng được tạo từ ngày 2026-10-01 trở về sau.</t>
  </si>
  <si>
    <t>1.2 Shipments (Giao hàng)</t>
  </si>
  <si>
    <t>admin_ord_07</t>
  </si>
  <si>
    <t>Kiểm tra lọc đơn hàng khi chỉ nhập Đến ngày (End date)</t>
  </si>
  <si>
    <t>Step:
1. Để trống Start date
2. Nhập End date = '2026-10-20'
3. Click nút [Search]</t>
  </si>
  <si>
    <t>Kiểm tra hiển thị danh sách các chuyến giao hàng khi click [Sales &gt; Shipments]</t>
  </si>
  <si>
    <t>1. Danh sách hiển thị tất cả các đơn hàng được tạo trước hoặc trong ngày 2026-10-20.</t>
  </si>
  <si>
    <t>admin_ord_08</t>
  </si>
  <si>
    <t>Kiểm tra trạng thái hiển thị mặc định của bảng giao hàng</t>
  </si>
  <si>
    <t>Kiểm tra lọc đơn hàng theo Order status = 'Pending'</t>
  </si>
  <si>
    <t>Step:
1. Chọn Order status = [Pending]
2. Click nút [Search]</t>
  </si>
  <si>
    <t>1. Bảng dữ liệu chỉ lọc các đơn hàng có trạng thái là 'Pending'.</t>
  </si>
  <si>
    <t>Tìm kiếm &amp; Lọc</t>
  </si>
  <si>
    <t>admin_ord_09</t>
  </si>
  <si>
    <t>Kiểm tra lọc đơn hàng theo Order status = 'Processing'</t>
  </si>
  <si>
    <t>Step:
1. Chọn Order status = [Processing]
2. Click nút [Search]</t>
  </si>
  <si>
    <t>1. Bảng dữ liệu chỉ hiển thị các đơn hàng đang xử lý có trạng thái 'Processing'.</t>
  </si>
  <si>
    <t>admin_ord_10</t>
  </si>
  <si>
    <t>Kiểm tra lọc đơn hàng theo Order status = 'Complete'</t>
  </si>
  <si>
    <t>Step:
1. Chọn Order status = [Complete]
2. Click nút [Search]</t>
  </si>
  <si>
    <t>Kiểm tra lọc danh sách giao hàng theo Mã vận đơn (Tracking number) không tồn tại</t>
  </si>
  <si>
    <t>1. Bảng dữ liệu chỉ hiển thị các đơn hàng đã hoàn tất (Complete) với nhãn màu xanh lá.</t>
  </si>
  <si>
    <t>Admin_Shipments</t>
  </si>
  <si>
    <t>admin_ord_11</t>
  </si>
  <si>
    <t>Kiểm tra lọc danh sách giao hàng theo Mã vận đơn (Tracking number) tồn tại</t>
  </si>
  <si>
    <t>Kiểm tra lọc đơn hàng theo Order status = 'Cancelled'</t>
  </si>
  <si>
    <t>Step:
1. Chọn Order status = [Cancelled]
2. Click nút [Search]</t>
  </si>
  <si>
    <t>Quản lý Giao hàng (Admin - Shipments)</t>
  </si>
  <si>
    <t>1. Bảng dữ liệu chỉ hiển thị các đơn hàng đã bị hủy (Cancelled).</t>
  </si>
  <si>
    <t>admin_ord_12</t>
  </si>
  <si>
    <t>Kiểm tra lọc đơn hàng theo Payment status = 'Pending'</t>
  </si>
  <si>
    <t>Step:
1. Chọn Payment status = [Pending]
2. Click nút [Search]</t>
  </si>
  <si>
    <t>Kiểm tra lọc danh sách giao hàng theo khoảng ngày xuất kho hợp lệ (start date &lt;= end date)</t>
  </si>
  <si>
    <t>1. Bảng dữ liệu chỉ hiển thị các đơn hàng chưa thực hiện thanh toán ('Pending').</t>
  </si>
  <si>
    <t>Kiểm tra lọc danh sách giao hàng theo khoảng ngày xuất kho không hợp lệ (start date &gt; end date)</t>
  </si>
  <si>
    <t>admin_ord_13</t>
  </si>
  <si>
    <t>Kiểm tra lọc đơn hàng theo Payment status = 'Authorized'</t>
  </si>
  <si>
    <t>Step:
1. Chọn Payment status = [Authorized]
2. Click nút [Search]</t>
  </si>
  <si>
    <t>1. Bảng dữ liệu chỉ hiển thị các đơn hàng đã được tổ chức thanh toán xác thực giao dịch ('Authorized').</t>
  </si>
  <si>
    <t>Kiểm tra lọc danh sách giao hàng khi chỉ nhập Start date</t>
  </si>
  <si>
    <t>Admin_GiftCards</t>
  </si>
  <si>
    <t>admin_ord_14</t>
  </si>
  <si>
    <t>Kiểm tra lọc danh sách giao hàng khi chỉ nhập End date</t>
  </si>
  <si>
    <t>Kiểm tra lọc đơn hàng theo Payment status = 'Paid'</t>
  </si>
  <si>
    <t>Step:
1. Chọn Payment status = [Paid]
2. Click nút [Search]</t>
  </si>
  <si>
    <t>1. Bảng dữ liệu chỉ hiển thị các đơn hàng đã thanh toán thành công ('Paid').</t>
  </si>
  <si>
    <t>Phân trang &amp; Chi tiết</t>
  </si>
  <si>
    <t>admin_ord_15</t>
  </si>
  <si>
    <t>Kiểm tra lọc đơn hàng theo Payment status = 'Refunded'</t>
  </si>
  <si>
    <t>Step:
1. Chọn Payment status = [Refunded]
2. Click nút [Search]</t>
  </si>
  <si>
    <t>Quản lý Thẻ quà tặng (Admin - Gift cards)</t>
  </si>
  <si>
    <t>1. Bảng dữ liệu chỉ hiển thị các đơn hàng đã hoàn tiền toàn phần ('Refunded').</t>
  </si>
  <si>
    <t>Kiểm tra phân trang danh sách chuyến giao hàng</t>
  </si>
  <si>
    <t>Kiểm tra xem màn hình chi tiết chuyến giao hàng</t>
  </si>
  <si>
    <t>Xử lý vận chuyển</t>
  </si>
  <si>
    <t>Kiểm tra cập nhật trạng thái 'Set as shipped' có nhập mã vận đơn Tracking number hợp lệ</t>
  </si>
  <si>
    <t>Kiểm tra cập nhật trạng thái 'Set as shipped' khi không nhập mã vận đơn</t>
  </si>
  <si>
    <t>Kiểm tra cập nhật trạng thái 'Set as delivered' hoàn tất giao hàng</t>
  </si>
  <si>
    <t>Kiểm tra cập nhật Date ready for pickup và Date delivered hợp lệ (Date ready for pickup &lt;= Date delivered)</t>
  </si>
  <si>
    <t>admin_ord_16</t>
  </si>
  <si>
    <t>Kiểm tra lọc đơn hàng theo Payment status = 'Voided'</t>
  </si>
  <si>
    <t>Kiểm tra cập nhật Date ready for pickup và Date delivered không hợp lệ (Date ready for pickup &gt; Date delivered)</t>
  </si>
  <si>
    <t>Step:
1. Chọn Payment status = [Voided]
2. Click nút [Search]</t>
  </si>
  <si>
    <t>1. Bảng dữ liệu chỉ hiển thị các đơn hàng đã hủy bỏ giao dịch thanh toán ('Voided').</t>
  </si>
  <si>
    <t>admin_ord_17</t>
  </si>
  <si>
    <t>Kiểm tra lọc đơn hàng theo Payment status = 'Partially Refunded'</t>
  </si>
  <si>
    <t>Kiểm tra cập nhật thêm ghi chú nội bộ cho chuyến giao hàng</t>
  </si>
  <si>
    <t>Step:
1. Chọn Payment status = [Partially Refunded]
2. Click nút [Search]</t>
  </si>
  <si>
    <t>1. Bảng dữ liệu chỉ hiển thị các đơn hàng được hoàn trả tiền một phần.</t>
  </si>
  <si>
    <t>In ấn &amp; Thao tác</t>
  </si>
  <si>
    <t>admin_ord_18</t>
  </si>
  <si>
    <t>Kiểm tra lọc đơn hàng theo Shipping status = 'Not yet shipped'</t>
  </si>
  <si>
    <t>Step:
1. Chọn Shipping status = [Not yet shipped]
2. Click nút [Search]</t>
  </si>
  <si>
    <t>Kiểm tra in phiếu đóng gói giao hàng PDF (Print packaging slip)</t>
  </si>
  <si>
    <t>1. Bảng dữ liệu chỉ hiển thị các đơn hàng chưa đóng gói xuất kho giao hàng.</t>
  </si>
  <si>
    <t>admin_ord_19</t>
  </si>
  <si>
    <t>Kiểm tra in phiếu đóng gói PDF cho các chuyến hàng được chọn trong danh sách</t>
  </si>
  <si>
    <t>Kiểm tra lọc đơn hàng theo Shipping status = 'Shipped'</t>
  </si>
  <si>
    <t>Step:
1. Chọn Shipping status = [Shipped]
2. Click nút [Search]</t>
  </si>
  <si>
    <t>1. Bảng dữ liệu chỉ hiển thị các đơn hàng đang trên đường vận chuyển.</t>
  </si>
  <si>
    <t>Kiểm tra xóa một chuyến giao hàng</t>
  </si>
  <si>
    <t>admin_ord_20</t>
  </si>
  <si>
    <t>1.3 Gift cards (Thẻ quà tặng)</t>
  </si>
  <si>
    <t>Kiểm tra lọc đơn hàng theo Shipping status = 'Delivered'</t>
  </si>
  <si>
    <t>Hiển thị &amp; Danh sách</t>
  </si>
  <si>
    <t>Step:
1. Chọn Shipping status = [Delivered]
2. Click nút [Search]</t>
  </si>
  <si>
    <t>1. Bảng dữ liệu chỉ hiển thị các đơn hàng đã được giao thành công đến tay người nhận.</t>
  </si>
  <si>
    <t>admin_ord_21</t>
  </si>
  <si>
    <t>Kiểm tra hiển thị màn hình danh sách bố cục thẻ quà tặng khi click [Sales &gt; Gift cards]</t>
  </si>
  <si>
    <t>Pre-condition:
+ Có đơn hàng của khách hàng 'steve_gates@nopCommerce.com'.
Step:
1. Nhập 'steve_gates@nopCommerce.com' vào ô 'Billing email'
2. Click nút [Search]</t>
  </si>
  <si>
    <t>Kiểm tra tìm kiếm thẻ quà tặng theo Coupon code đang tồn tại</t>
  </si>
  <si>
    <t>1. Danh sách lọc và hiển thị chính xác các đơn hàng thuộc email 'steve_gates@nopCommerce.com'.</t>
  </si>
  <si>
    <t>admin_ord_22</t>
  </si>
  <si>
    <t>Kiểm tra tìm kiếm theo Email thanh toán với định dạng sai cú pháp email</t>
  </si>
  <si>
    <t>Kiểm tra tìm kiếm thẻ quà tặng theo Coupon code không tồn tại</t>
  </si>
  <si>
    <t>Step:
1. Nhập 'email_sai_cu_phap@@test' vào ô 'Billing email'
2. Click nút [Search]</t>
  </si>
  <si>
    <t>1. Hệ thống hiển thị cảnh báo sai cú pháp email.</t>
  </si>
  <si>
    <t>Kiểm tra lọc thẻ quà tặng theo trạng thái kích hoạt = 'Activated'</t>
  </si>
  <si>
    <t>admin_ord_23</t>
  </si>
  <si>
    <t>Kiểm tra lọc thẻ quà tặng theo trạng thái kích hoạt = 'Deactivated'</t>
  </si>
  <si>
    <t>Step:
1. Nhập Last Name = 'Gates' vào ô tìm kiếm
2. Click nút [Search]</t>
  </si>
  <si>
    <t>1. Danh sách hiển thị các đơn hàng có họ khách hàng chứa từ 'Gates'.</t>
  </si>
  <si>
    <t>Kiểm tra tìm kiếm thẻ quà tặng theo Tên người nhận (Recipient name)</t>
  </si>
  <si>
    <t>admin_ord_24</t>
  </si>
  <si>
    <t>Thêm thẻ quà tặng</t>
  </si>
  <si>
    <t>Step:
1. Nhập từ khóa 'khách VIP' vào ô 'Order notes'
2. Click nút [Search]</t>
  </si>
  <si>
    <t>1. Bảng lọc và hiển thị các đơn hàng có nội dung ghi chú chứa từ 'khách VIP'.</t>
  </si>
  <si>
    <t>admin_ord_25</t>
  </si>
  <si>
    <t>Kiểm tra chức năng sinh mã thẻ ngẫu nhiên tự động [Generate code]</t>
  </si>
  <si>
    <t>Step:
1. Tại chân bảng đơn hàng, click nút [Next] hoặc số trang [2]</t>
  </si>
  <si>
    <t>1. Bảng tải và hiển thị danh sách đơn hàng của trang 2.
2. Số thứ tự đơn hàng tiếp nối chính xác trang 1.</t>
  </si>
  <si>
    <t>Kiểm tra lưu thẻ quà tặng mới với đầy đủ các trường bắt buộc (Giá trị ban đầu, Tên/Email người nhận)</t>
  </si>
  <si>
    <t>admin_ord_26</t>
  </si>
  <si>
    <t>Kiểm tra nhập Initial value với số tiền hợp lệ</t>
  </si>
  <si>
    <t>Pre-condition:
+ Đang đứng ở trang 2 của danh sách đơn hàng.
Step:
1. Click nút [Previous] hoặc số trang [1]</t>
  </si>
  <si>
    <t>1. Hệ thống quay trở lại và hiển thị danh sách đơn hàng của trang 1.</t>
  </si>
  <si>
    <t>Kiểm tra nhập Initial value với số tiền không hợp lệ (số âm)</t>
  </si>
  <si>
    <t>admin_ord_27</t>
  </si>
  <si>
    <t>Kiểm tra nhập Initial value bằng 0 (Kỹ thuật BVA)</t>
  </si>
  <si>
    <t>Step:
1. Chọn dropdown kích thước trang lần lượt là 20, 50, 100 dòng/trang</t>
  </si>
  <si>
    <t>1. Số lượng dòng dữ liệu hiển thị trên bảng cập nhật tương ứng chính xác theo giá trị đã chọn.</t>
  </si>
  <si>
    <t>admin_ord_28</t>
  </si>
  <si>
    <t>Step:
1. Click nút [View] tại dòng đơn hàng #1</t>
  </si>
  <si>
    <t>1. Hệ thống chuyển hướng vào màn hình xem chi tiết đơn hàng #1 (View order details - 1).</t>
  </si>
  <si>
    <t>Kiểm tra để trống trường bắt buộc Tên người nhận (Recipient name)</t>
  </si>
  <si>
    <t>admin_ship_01</t>
  </si>
  <si>
    <t>admin_ord_29</t>
  </si>
  <si>
    <t>Kiểm tra để trống trường bắt buộc Email người nhận (Recipient email) với thẻ loại Virtual</t>
  </si>
  <si>
    <t>Step:
1. Quan sát giao diện trang Chi tiết đơn hàng</t>
  </si>
  <si>
    <t>Kiểm tra hiển thị danh sách các chuyến giao hàng khi click [admin &gt; Shipments]</t>
  </si>
  <si>
    <t>1. Hiển thị đầy đủ 4 tab chức năng: Info (Thông tin chung), Billing &amp; Shipping (Địa chỉ), Products (Sản phẩm), Order notes (Ghi chú).</t>
  </si>
  <si>
    <t>Kiểm tra nhập Email người nhận sai định dạng cú pháp</t>
  </si>
  <si>
    <t>Pre-condition:
+ Đăng nhập tài khoản Quản trị viên (Admin).
Step:
1. Tại menu [admin]
2. Click chọn [Shipments]</t>
  </si>
  <si>
    <t>1. Màn hình Shipments được hiển thị.</t>
  </si>
  <si>
    <t>admin_ord_30</t>
  </si>
  <si>
    <t>Kiểm tra tạo thẻ quà tặng loại vật lý (Physical gift card)</t>
  </si>
  <si>
    <t>Step:
1. Tại panel 'Order totals', click nút [Edit order total]
2. Nhập số tiền âm: Order total= '-50'
3. Click nút [Save]</t>
  </si>
  <si>
    <t>1. Hệ thống báo lỗi validation không cho phép tổng tiền là số âm.
2. Giá trị tổng tiền cũ được giữ nguyên.</t>
  </si>
  <si>
    <t>Kích hoạt / Vô hiệu</t>
  </si>
  <si>
    <t>admin_ship_02</t>
  </si>
  <si>
    <t>admin_ord_31</t>
  </si>
  <si>
    <t>Kiểm tra kích hoạt thẻ quà tặng (Is activated = True)</t>
  </si>
  <si>
    <t>Step:
1. Truy cập màn hình Shipments
2. Quan sát bảng dữ liệu ban đầu</t>
  </si>
  <si>
    <t>Step:
1. Tại panel 'Order totals', click nút [Edit order total]
2. Nhập số tiền cực lớn: '999999999999'
3. Click nút [Save]</t>
  </si>
  <si>
    <t>1. Bảng hiển thị danh sách các chuyến giao hàng hiện có trong hệ thống.
2. Các ô lọc tìm kiếm ban đầu ở trạng thái trống.</t>
  </si>
  <si>
    <t>1. Hệ thống cảnh báo giới hạn độ dài hoặc định dạng tiền tệ vượt quá ngưỡng cho phép.
2. Giá trị tổng tiền cũ được giữ nguyên.</t>
  </si>
  <si>
    <t>Kiểm tra vô hiệu hóa thẻ quà tặng (Is activated = False)</t>
  </si>
  <si>
    <t>admin_ship_03</t>
  </si>
  <si>
    <t>admin_ord_32</t>
  </si>
  <si>
    <t>Step:
1. Nhập Tracking number = 'MA_KHONG_TON_TAI_999'
2. Click nút [Search]</t>
  </si>
  <si>
    <t>Thông báo thẻ quà tặng</t>
  </si>
  <si>
    <t>Step:
1. Tại panel 'Order totals', click nút [Edit order total]
2. Nhập giá trị tổng tiền mới: '1500.00'
3. Click nút [Save]</t>
  </si>
  <si>
    <t>1. Bảng dữ liệu không hiển thị bản ghi nào.
2. Hiển thị thông báo 'No data available in table'.</t>
  </si>
  <si>
    <t>1. Hiển thị thông báo lưu thành công.
2. Tổng tiền đơn hàng cập nhật thành $1,500.00 chính xác.</t>
  </si>
  <si>
    <t>admin_ord_33</t>
  </si>
  <si>
    <t>admin_ship_04</t>
  </si>
  <si>
    <t>Kiểm tra gửi email thông báo mã thẻ quà tặng cho người nhận [Notify recipient]</t>
  </si>
  <si>
    <t>Step:
1. Tại trang chi tiết đơn hàng đang ở 'Pending'
2. Click nút [Change status]
3. Chọn trạng thái mới = 'Processing'
4. Click nút [Save]</t>
  </si>
  <si>
    <t>Pre-condition:
+ Có chuyến hàng với Tracking number = 'VNPOST_123456'.
Step:
1. Nhập Tracking number = 'VNPOST_123456'
2. Click nút [Search]</t>
  </si>
  <si>
    <t>1. HIển thị list trạng thái có thể thay đổi gồm "Processing"
2. Thông tin trạng thái đơn hiển thị 'Processing'.</t>
  </si>
  <si>
    <t>1. Danh sách lọc và hiển thị chính xác chuyến hàng có mã vận đơn 'VNPOST_123456'.</t>
  </si>
  <si>
    <t>admin_gc_01</t>
  </si>
  <si>
    <t>Xem lịch sử sử dụng gift cards</t>
  </si>
  <si>
    <t>admin_ord_34</t>
  </si>
  <si>
    <t>admin_ship_05</t>
  </si>
  <si>
    <t>Kiểm tra xem lịch sử sử dụng của thẻ quà tặng (Usage history)</t>
  </si>
  <si>
    <t>Step:
1. Tại chi tiết đơn hàng đang ở 'Processing'
2. Click nút [Change status]
3. Chọn 'Complete'  
4. Click [Save]</t>
  </si>
  <si>
    <t>1. HIển thị list trạng thái có thể thay đổi gồm "Complete"
2. Thông tin trạng thái đơn hiển thị 'Complete'.</t>
  </si>
  <si>
    <t>1. Hiển thị danh sách các option quốc gia trong đó có United States
2.. Bảng dữ liệu hiển thị các chuyến hàng có địa chỉ người nhận thuộc quốc gia United States.</t>
  </si>
  <si>
    <t>Xóa gift cards</t>
  </si>
  <si>
    <t>Kiểm tra hiển thị màn hình danh sách bố cục thẻ quà tặng khi click [admin &gt; Gift cards]</t>
  </si>
  <si>
    <t>admin_ship_06</t>
  </si>
  <si>
    <t>admin_ord_35</t>
  </si>
  <si>
    <t>Kiểm tra xóa thẻ quà tặng</t>
  </si>
  <si>
    <t>Pre-condition:
+ Đăng nhập tài khoản Quản trị viên (Admin).
Step:
1. Tại menu [admin], click chọn [Gift cards]</t>
  </si>
  <si>
    <t>Step:
1. Click nút [Cancel order] trên thanh công cụ chi tiết đơn hàng
2. Xác nhận popup cảnh báo hủy đơn</t>
  </si>
  <si>
    <t>1. Hiển thị màn hình Gift cards.</t>
  </si>
  <si>
    <t>1. Danh sách hiển thị các chuyến hàng có Shipped date nằm trong khoảng từ 2026-10-01 đến 2026-10-20.</t>
  </si>
  <si>
    <t>1. Đơn hàng chuyển sang trạng thái 'Cancelled'.
2. Các nút thao tác thanh toán và xuất kho bị khóa lại.</t>
  </si>
  <si>
    <t>admin_ship_07</t>
  </si>
  <si>
    <t>admin_ord_36</t>
  </si>
  <si>
    <t>admin_gc_02</t>
  </si>
  <si>
    <t>1. Hệ thống thông báo ngày không hợp lệ
2. Hiển thị thông báo 'No data available in table'.</t>
  </si>
  <si>
    <t>Step:
1. Tại tab Order notes, nhập nội dung ghi chú: 'Đơn hàng đang chuẩn bị xuất kho'
2. Đánh dấu chọn 'Display to customer'
3. Click nút [Add order note]</t>
  </si>
  <si>
    <t>Pre-condition:
+ Có thẻ quà tặng với mã 'TEST_GC_100'.
Step:
1. Nhập 'TEST_GC_100' vào ô 'Coupon code'
2. Click nút [Search]</t>
  </si>
  <si>
    <t>1. Ghi chú được thêm vào danh sách lịch sử.
2. Cột 'Display to customer' hiển thị dấu tích xanh và hiển thị được ngoài Storefront.</t>
  </si>
  <si>
    <t>admin_ship_08</t>
  </si>
  <si>
    <t>1. Bảng dữ liệu lọc và hiển thị chính xác thẻ quà tặng có mã 'TEST_GC_100'.</t>
  </si>
  <si>
    <t>admin_ord_37</t>
  </si>
  <si>
    <t>admin_gc_03</t>
  </si>
  <si>
    <t>1. Hiển thị tất cả các chuyến hàng được xuất kho từ ngày 2026-10-01 trở về sau.</t>
  </si>
  <si>
    <t>Step:
1. Nhập 'MA_KHONG_TON_TAI_999' vào ô Coupon code
2. Click nút [Search]</t>
  </si>
  <si>
    <t>Step:
1. Nhập ghi chú nội bộ: 'Kiểm tra kỹ thông tin thanh toán trước khi ship'
2. Bỏ chọn 'Display to customer'
3. Click nút [Add order note]</t>
  </si>
  <si>
    <t>1. Thông báo 'No data available in table'.</t>
  </si>
  <si>
    <t>admin_ship_09</t>
  </si>
  <si>
    <t>1. Ghi chú được lưu nội bộ thành công.
2. Cột 'Display to customer' hiển thị dấu chéo đỏ (khách không xem được ngoài Storefront).</t>
  </si>
  <si>
    <t>admin_gc_04</t>
  </si>
  <si>
    <t>1. Hiển thị tất cả các chuyến hàng xuất kho trước hoặc trong ngày 2026-10-20.</t>
  </si>
  <si>
    <t>admin_ord_38</t>
  </si>
  <si>
    <t>Step:
1. Chọn Activated = [Activated]
2. Click nút [Search]</t>
  </si>
  <si>
    <t>admin_ship_10</t>
  </si>
  <si>
    <t>Step:
1. Tại bảng danh sách ghi chú đơn hàng, click nút [Delete] trên 1 dòng ghi chú
2. Xác nhận hộp thoại xóa</t>
  </si>
  <si>
    <t>1. Danh sách chỉ hiển thị các thẻ quà tặng đang được kích hoạt (cột Is activated có dấu tích xanh).</t>
  </si>
  <si>
    <t>1. Hiển thị popup xác nhận xóa
2. Ghi chú đó bị xóa hoàn toàn khỏi bảng lịch sử đơn hàng.</t>
  </si>
  <si>
    <t>Step:
1. Tại chân bảng Shipments, click nút [Next] hoặc số trang [2]
2. Click nút [Previous] hoặc số trang [1]</t>
  </si>
  <si>
    <t>1. Chuyển sang trang 2 và quay lại trang 1 mượt mà, dữ liệu không bị trùng lặp.</t>
  </si>
  <si>
    <t>admin_gc_05</t>
  </si>
  <si>
    <t>admin_ord_39</t>
  </si>
  <si>
    <t>admin_ship_11</t>
  </si>
  <si>
    <t>Step:
1. Chọn Activated = [Deactivated]
2. Click nút [Search]</t>
  </si>
  <si>
    <t>1. Danh sách chỉ hiển thị các thẻ quà tặng đã bị vô hiệu hóa (cột Is activated có dấu chéo đỏ).</t>
  </si>
  <si>
    <t>Step:
1. Đánh dấu chọn (checkbox) 2 đơn hàng trong bảng
2. Click menu [Export]
3. Chọn [Export to Excel (selected)]</t>
  </si>
  <si>
    <t>Step:
1. Click nút [View] tại chuyến giao hàng #1</t>
  </si>
  <si>
    <t>1. Tệp Excel được tải xuống và chứa đúng 2 đơn hàng đã chọn với đầy đủ thông tin mã đơn, ngày tạo, tổng tiền.</t>
  </si>
  <si>
    <t>1. Điều hướng vào trang chi tiết chuyến hàng (View shipment details).</t>
  </si>
  <si>
    <t>admin_gc_06</t>
  </si>
  <si>
    <t>admin_ship_12</t>
  </si>
  <si>
    <t>admin_ord_40</t>
  </si>
  <si>
    <t>Step:
1. Nhập Tên người nhận = 'Nguyễn Văn B'
2. Click nút [Search]</t>
  </si>
  <si>
    <t>1. Bảng lọc ra đúng các thẻ quà tặng gửi cho người nhận 'Nguyễn Văn B'.</t>
  </si>
  <si>
    <t>Step:
1. Click menu [Export]
2. Chọn [Export to Excel (all)]</t>
  </si>
  <si>
    <t>Step:
1. Tại chi tiết chuyến hàng chưa xuất kho, nhập Tracking number = 'VNPOST_654321'
2. Click nút [Set as shipped]</t>
  </si>
  <si>
    <t>admin_gc_07</t>
  </si>
  <si>
    <t>1. Tệp Excel được tải xuống và chứa toàn bộ danh sách đơn hàng trong hệ thống được tải xuống thành công.</t>
  </si>
  <si>
    <t>2. Cột Shipped date được tự động ghi nhận ngày giờ hiện tại.</t>
  </si>
  <si>
    <t>Step:
1. Click nút [Add new] để tạo thẻ quà tặng
2. Click nút [Generate code] tại trường Coupon code</t>
  </si>
  <si>
    <t>admin_ship_13</t>
  </si>
  <si>
    <t>admin_ord_41</t>
  </si>
  <si>
    <t>1. Hiển thị form  nhập thông tin thẻ quà tặng
2. Tự động hiển tự mã code trong trường Coupon code</t>
  </si>
  <si>
    <t>Step:
1. Đánh dấu chọn 2 đơn hàng trong bảng
2. Click nút [Print PDF invoices (selected)]</t>
  </si>
  <si>
    <t>Step:
1. Để trống ô Tracking number
2. Click nút [Set as shipped]</t>
  </si>
  <si>
    <t>1. Tệp PDF được tạo và tải xuống,  hiển thị đầy đủ  thông tin người mua, chi tiết sản phẩm, thuế và tổng tiền chính xác.</t>
  </si>
  <si>
    <t>1. Hệ thống cho phép chuyển trạng thái Shipped hoặc cảnh báo tùy cấu hình cửa hàng.</t>
  </si>
  <si>
    <t>admin_ord_42</t>
  </si>
  <si>
    <t>Step:
1. Click nút [Print PDF invoices (all)]</t>
  </si>
  <si>
    <t>admin_ship_14</t>
  </si>
  <si>
    <t>admin_gc_08</t>
  </si>
  <si>
    <t>admin_ord_43</t>
  </si>
  <si>
    <t>Step:
1. Tại chuyến hàng đã ở trạng thái Shipped
2. Click nút [Set as delivered]</t>
  </si>
  <si>
    <t>1. Trạng thái chuyến hàng chuyển thành Delivered.
2. Cột Delivery date được ghi nhận ngày giờ giao hàng thành công.</t>
  </si>
  <si>
    <t>Step:
1. Tại tab Products của chi tiết đơn hàng, click [Add product]
2. Chọn 1 sản phẩm và nhập Số lượng: '-2'
3. Click [Save]</t>
  </si>
  <si>
    <t>1. Hệ thống báo lỗi validation yêu cầu số lượng phải lớn hơn 0.
2. Sản phẩm không được thêm vào đơn hàng.</t>
  </si>
  <si>
    <t>admin_ship_15</t>
  </si>
  <si>
    <t>Step:
1. Nhập Date ready for pickup = '2026-10-20'
2. Nhập Date delivered = '2026-10-22'
3. Click nút [Save]</t>
  </si>
  <si>
    <t>admin_ord_44</t>
  </si>
  <si>
    <t>1. Hiển thị thông báo 'Shipment has been updated successfully' và dữ liệu hiển Date ready for pickup = '2026-10-20' và Date delivered = '2026-10-22' .</t>
  </si>
  <si>
    <t>Step:
1. Nhập Initial value = '100'
2. Nhập Coupon code = 'TEST_GC_100'
3. Nhập Recipient name = 'Nguyễn Văn B'
4. Nhập Recipient email = 'vanb@gmail.com'
5. Click nút [Save]</t>
  </si>
  <si>
    <t>Step:
1. Tại form thêm sản phẩm, nhập Giá sản phẩm: '-100'
2. Click [Save]</t>
  </si>
  <si>
    <t>admin_ship_16</t>
  </si>
  <si>
    <t>1. Hệ thống báo lỗi giá sản phẩm không được là số âm.
2. Form không được lưu.</t>
  </si>
  <si>
    <t>1. Thẻ quà tặng được lưu thành công vào hệ thống và hiển thị thông báo: 'The new gift card has been added successfully.'</t>
  </si>
  <si>
    <t>Step:
1. Tại chuyến hàng, nhập Date ready for pickup = '2026-10-22'
2. Nhập Date delivered = '2026-10-20'
3. Click nút [Save]</t>
  </si>
  <si>
    <t>1. Hệ thống hiển thị cảnh báo lỗi logic: Ngày sẵn sàng lấy hàng không thể lớn hơn ngày giao hàng.
2. Dữ liệu hiển thị không được cập nhật  Date ready for pickup và Date delivered.</t>
  </si>
  <si>
    <t>admin_ship_17</t>
  </si>
  <si>
    <t>Step:
1. Nhập ghi chú vào ô 'Admin comment': 'Khách hẹn giao sau 18h'
2. Click nút [Save]</t>
  </si>
  <si>
    <t>1. Ghi chú được lưu lại trong chi tiết chuyến hàng.</t>
  </si>
  <si>
    <t>admin_ship_18</t>
  </si>
  <si>
    <t>admin_gc_09</t>
  </si>
  <si>
    <t>Step:
1. Tại trang chi tiết chuyến hàng, click nút [Print packaging slip all]</t>
  </si>
  <si>
    <t>1. Tệp PDF phiếu đóng gói được tải xuống hiển thị đầy đủ thông tin địa chỉ giao, danh sách hàng và số lượng.</t>
  </si>
  <si>
    <t>Step:
1. Tại form tạo thẻ quà tặng, nhập Initial value = '500'
2. Điền các trường bắt buộc khác và click nút [Save]</t>
  </si>
  <si>
    <t>1. Thẻ quà tặng được tạo thành công với mệnh giá ban đầu là $500.00.</t>
  </si>
  <si>
    <t>admin_ship_19</t>
  </si>
  <si>
    <t>admin_gc_10</t>
  </si>
  <si>
    <t>Step:
1. Tại bảng danh sách Shipments, tick chọn 2 chuyến hàng
2. Click nút [Print packaging slips (selected)]</t>
  </si>
  <si>
    <t>1. Tệp PDF tổng hợp các phiếu đóng gói của 2 chuyến hàng đã chọn được tải xuống thành công.</t>
  </si>
  <si>
    <t>Step:
1. Tại form tạo thẻ quà tặng, nhập Initial value = '-50'
2. Click nút [Save]</t>
  </si>
  <si>
    <t>admin_ship_20</t>
  </si>
  <si>
    <t>1. Hệ thống hiển thị thông báo lỗi yêu cầu giá trị thẻ quà tặng phải lớn hơn 0.
2. Không tạo thẻ quà tặng.</t>
  </si>
  <si>
    <t>Step:
1. Tại chi tiết chuyến hàng, click nút [Delete]
2. Xác nhận hộp thoại cảnh báo xóa</t>
  </si>
  <si>
    <t>1. Hiển thị popup xác nhận.
2. Chuyến hàng bị xóa khỏi hệ thống. Quay lại danh sách với thông báo 'The shipment has been deleted successfully'.</t>
  </si>
  <si>
    <t>admin_gc_11</t>
  </si>
  <si>
    <t>Step:
1. Nhập Initial value = '0'
2. Điền các trường khác và click [Save]</t>
  </si>
  <si>
    <t>1. Hệ thống báo lỗi giá trị ban đầu phải lớn hơn 0.
2. Thẻ quà tặng không được tạo.</t>
  </si>
  <si>
    <t>admin_gc_12</t>
  </si>
  <si>
    <t>Step:
1. Nhập Initial value = '100'
2. Để trống ô 'Recipient name'
3. Nhập email người nhận hợp lệ
4. Click [Save]</t>
  </si>
  <si>
    <t>1. Hệ thống cảnh báo lỗi bắt buộc nhập tên người nhận.
2. Dữ liệu gift card không được lưu.</t>
  </si>
  <si>
    <t>admin_gc_13</t>
  </si>
  <si>
    <t>Step:
1. Chọn Gift card type = Virtual
2. Để trống ô 'Recipient email'
3. Điền các trường khác và click [Save]</t>
  </si>
  <si>
    <t>1. Hệ thống cảnh báo lỗi bắt buộc nhập email người nhận đối với thẻ ảo.
2. Không lưu form.</t>
  </si>
  <si>
    <t>admin_gc_14</t>
  </si>
  <si>
    <t>Step:
1. Nhập Recipient email = 'email_khong_hop_le@@abc'
2. Click [Save]</t>
  </si>
  <si>
    <t>1. Hệ thống báo lỗi validation 'Wrong email'.
2. Thẻ không được lưu.</t>
  </si>
  <si>
    <t>admin_gc_15</t>
  </si>
  <si>
    <t>Step:
1. Chọn Gift card type = [Physical]
2. Nhập Initial value, Coupon code, Recipient name
3. Click [Save]</t>
  </si>
  <si>
    <t>1. Thẻ quà tặng loại vật lý được tạo thành công mà không bắt buộc nhập email người nhận.</t>
  </si>
  <si>
    <t>admin_gc_16</t>
  </si>
  <si>
    <t>Step:
1. Tại màn hình sửa thẻ quà tặng, đánh dấu chọn checkbox 'Is gift card activated'
2. Click nút [Save]</t>
  </si>
  <si>
    <t>1. Thẻ quà tặng chuyển sang trạng thái đã kích hoạt (biểu tượng tích xanh).
2. Mã thẻ có thể sử dụng để thanh toán ngoài Storefront.</t>
  </si>
  <si>
    <t>admin_gc_17</t>
  </si>
  <si>
    <t>Step:
1. Bỏ chọn checkbox 'Is gift card activated'
2. Click nút [Save]</t>
  </si>
  <si>
    <t>1. Thẻ quà tặng chuyển sang trạng thái vô hiệu hóa (biểu tượng dấu chéo đỏ).
2. Mã thẻ không còn áp dụng được khi đặt hàng.</t>
  </si>
  <si>
    <t>admin_gc_18</t>
  </si>
  <si>
    <t>Step:
1. Tại màn hình sửa thẻ quà tặng đã kích hoạt
2. Click nút [Notify recipient]
3. Xác nhận popup gửi email</t>
  </si>
  <si>
    <t>1. Hệ thống gửi email chứa mã coupon tới email người nhận thành công.
2. Hiển thị thông báo 'Notification email has been sent'.</t>
  </si>
  <si>
    <t>admin_gc_19</t>
  </si>
  <si>
    <t>Step:
1. Tại chi tiết thẻ quà tặng, cuộn xuống bảng 'Usage history'</t>
  </si>
  <si>
    <t>1. Bảng hiển thị các đơn hàng đã sử dụng thẻ quà tặng này kèm số tiền đã trừ và ngày sử dụng.</t>
  </si>
  <si>
    <t>admin_gc_20</t>
  </si>
  <si>
    <t>Step:
1. Tại chi tiết thẻ quà tặng, click nút [Delete]
2. Xác nhận hộp thoại cảnh báo xóa</t>
  </si>
  <si>
    <t>1. Thẻ quà tặng bị xóa hoàn toàn khỏi hệ thống.
2. Quay lại danh sách với thông báo xóa thành công.</t>
  </si>
  <si>
    <t>TEST REPORT</t>
  </si>
  <si>
    <t>NOP-SALES_TestReport_v1.0</t>
  </si>
  <si>
    <t>Notes</t>
  </si>
  <si>
    <t>Báo cáo kiểm thử phân hệ Quản lý bán hàng: Orders (44 TCs), Shipments (20 TCs), Gift cards (20 TCs)</t>
  </si>
  <si>
    <t>Module code</t>
  </si>
  <si>
    <t>Pass</t>
  </si>
  <si>
    <t>Fail</t>
  </si>
  <si>
    <t>Number of test cases</t>
  </si>
  <si>
    <t>Sub total</t>
  </si>
  <si>
    <t>Test coverage</t>
  </si>
  <si>
    <t>%</t>
  </si>
  <si>
    <t>Test successful coverage</t>
  </si>
  <si>
    <t>Lỗi do thực tế không thông báo định dạng email bị sai</t>
  </si>
  <si>
    <t>do thực tế không thông báo được nhập số tiền âm và nó lưu số tiền đó luôn</t>
  </si>
  <si>
    <t>do thực tế không thông báo được nhập số tiền cực lớn và nó lưu số tiền đó luôn</t>
  </si>
  <si>
    <t>Không hiển thị thông báo nhập số lượng lớn hơn không.
Hệ thống thực hiện lưu số lượng âm</t>
  </si>
  <si>
    <t>Không hiển thị thông báo nhập số giá sản phẩm lớn hơn không.
Hệ thống thực hiện lưu giá sản phẩm là âm trong đơn hàng</t>
  </si>
  <si>
    <t xml:space="preserve">Kiểm tra lọc danh sách giao hàng theo Quốc gia </t>
  </si>
  <si>
    <t>Kiểm tra lọc danh sách giao hàng theo Quốc gia</t>
  </si>
  <si>
    <t>Step:
1. Chọn Country = [United States of America]
2. Click nút [Search]</t>
  </si>
  <si>
    <t>Do đơn hàng không đủ nhiều để thực hiện chuyển trang</t>
  </si>
  <si>
    <t>Do chuyển trang kế tiếp không được nên không thể thực hiện được test case này</t>
  </si>
  <si>
    <t>Thực tế hệ thống tiến hành tìm kiếm chứ không thông báo ngày nhận không hợp lệ</t>
  </si>
  <si>
    <t>Thực tế hệ thống không thông báo "giá trị thẻ quà tặng phải lớn hơn 0" 
Hệ thống lưu thẻ quà tặng</t>
  </si>
  <si>
    <t>Thực tế hệ thống không thông báo "buộc nhập tên người nhận" 
Hệ thống lưu thẻ quà tặng</t>
  </si>
  <si>
    <t>Thực tế hệ thống không thông báo "bắt buộc nhập email người nhận đối với thẻ ảo" 
Hệ thống lưu thẻ quà tặng</t>
  </si>
  <si>
    <t>Thực hiện automatio danh sách test case của module quản lý thẻ quà tặng  admin_giftcard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</si>
</sst>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5"/>
      <color rgb="FF1F497D"/>
      <name val="Calibri"/>
      <scheme val="minor"/>
    </font>
    <font>
      <b/>
      <sz val="10"/>
      <color theme="1"/>
      <name val="Calibri"/>
      <scheme val="minor"/>
    </font>
    <font>
      <sz val="10"/>
      <color theme="1"/>
      <name val="Calibri"/>
      <scheme val="minor"/>
    </font>
    <font>
      <b/>
      <sz val="12"/>
      <color rgb="FF1F497D"/>
      <name val="Calibri"/>
      <scheme val="minor"/>
    </font>
    <font>
      <b/>
      <sz val="11"/>
      <color rgb="FFFFFFFF"/>
      <name val="Calibri"/>
      <scheme val="minor"/>
    </font>
    <font>
      <sz val="11"/>
      <name val="Calibri"/>
    </font>
    <font>
      <b/>
      <sz val="10"/>
      <color rgb="FF385723"/>
      <name val="Calibri"/>
      <scheme val="minor"/>
    </font>
    <font>
      <b/>
      <sz val="10"/>
      <color rgb="FFC00000"/>
      <name val="Calibri"/>
      <scheme val="minor"/>
    </font>
    <font>
      <b/>
      <sz val="10"/>
      <color rgb="FF595959"/>
      <name val="Calibri"/>
      <scheme val="minor"/>
    </font>
    <font>
      <b/>
      <sz val="10"/>
      <color rgb="FFB25900"/>
      <name val="Calibri"/>
      <scheme val="minor"/>
    </font>
    <font>
      <sz val="11"/>
      <color theme="1"/>
      <name val="Calibri"/>
      <scheme val="minor"/>
    </font>
  </fonts>
  <fills count="6">
    <fill>
      <patternFill patternType="none"/>
    </fill>
    <fill>
      <patternFill patternType="gray125"/>
    </fill>
    <fill>
      <patternFill patternType="solid">
        <fgColor rgb="FFDCE6F1"/>
        <bgColor rgb="FFDCE6F1"/>
      </patternFill>
    </fill>
    <fill>
      <patternFill patternType="solid">
        <fgColor rgb="FF1F497D"/>
        <bgColor rgb="FF1F497D"/>
      </patternFill>
    </fill>
    <fill>
      <patternFill patternType="solid">
        <fgColor rgb="FFFFF2CC"/>
        <bgColor rgb="FFFFF2CC"/>
      </patternFill>
    </fill>
    <fill>
      <patternFill patternType="solid">
        <fgColor rgb="FFE2EFDA"/>
        <bgColor rgb="FFE2EFDA"/>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medium">
        <color rgb="FF1F497D"/>
      </top>
      <bottom style="medium">
        <color rgb="FF1F497D"/>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35">
    <xf numFmtId="0" fontId="0" fillId="0" borderId="0" xfId="0"/>
    <xf numFmtId="0" fontId="2" fillId="2" borderId="1" xfId="0" applyFont="1" applyFill="1" applyBorder="1"/>
    <xf numFmtId="0" fontId="3" fillId="0" borderId="1" xfId="0" applyFont="1" applyBorder="1"/>
    <xf numFmtId="0" fontId="2" fillId="0" borderId="0" xfId="0" applyFont="1"/>
    <xf numFmtId="0" fontId="4" fillId="0" borderId="0" xfId="0" applyFont="1"/>
    <xf numFmtId="0" fontId="3" fillId="0" borderId="0" xfId="0" applyFont="1"/>
    <xf numFmtId="0" fontId="5" fillId="3" borderId="2" xfId="0" applyFont="1" applyFill="1" applyBorder="1" applyAlignment="1">
      <alignment horizontal="center" vertical="center" wrapText="1"/>
    </xf>
    <xf numFmtId="0" fontId="3" fillId="0" borderId="0" xfId="0" applyFont="1" applyAlignment="1">
      <alignment vertical="top"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quotePrefix="1" applyFont="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1" fillId="0" borderId="0" xfId="0" applyFont="1"/>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2" borderId="1" xfId="0" applyFont="1" applyFill="1" applyBorder="1" applyAlignment="1">
      <alignment horizontal="left" vertical="center" wrapText="1"/>
    </xf>
    <xf numFmtId="0" fontId="2" fillId="0" borderId="0" xfId="0" applyFont="1" applyAlignment="1">
      <alignment horizontal="left" vertical="center" wrapText="1"/>
    </xf>
    <xf numFmtId="2" fontId="2" fillId="0" borderId="0" xfId="0" applyNumberFormat="1" applyFont="1" applyAlignment="1">
      <alignment horizontal="right" vertical="center" wrapText="1"/>
    </xf>
    <xf numFmtId="14" fontId="3" fillId="0" borderId="1" xfId="0" applyNumberFormat="1" applyFont="1" applyBorder="1" applyAlignment="1">
      <alignment horizontal="center" vertical="center" wrapText="1"/>
    </xf>
    <xf numFmtId="0" fontId="1" fillId="0" borderId="0" xfId="0" applyFont="1" applyAlignment="1">
      <alignment horizontal="center" vertical="center" wrapText="1"/>
    </xf>
    <xf numFmtId="0" fontId="0" fillId="0" borderId="0" xfId="0"/>
    <xf numFmtId="0" fontId="2" fillId="0" borderId="3" xfId="0" applyFont="1" applyBorder="1" applyAlignment="1">
      <alignment horizontal="left" vertical="center" wrapText="1"/>
    </xf>
    <xf numFmtId="0" fontId="6" fillId="0" borderId="4" xfId="0" applyFont="1" applyBorder="1"/>
    <xf numFmtId="0" fontId="6" fillId="0" borderId="5" xfId="0" applyFont="1" applyBorder="1"/>
    <xf numFmtId="0" fontId="2" fillId="0" borderId="4" xfId="0" applyFont="1" applyBorder="1" applyAlignment="1">
      <alignment horizontal="left" vertical="center" wrapText="1"/>
    </xf>
    <xf numFmtId="0" fontId="2"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000"/>
  <sheetViews>
    <sheetView workbookViewId="0">
      <selection activeCell="G12" sqref="G12"/>
    </sheetView>
  </sheetViews>
  <sheetFormatPr defaultColWidth="14.44140625" defaultRowHeight="15" customHeight="1" x14ac:dyDescent="0.3"/>
  <cols>
    <col min="1" max="1" width="8.6640625" customWidth="1"/>
    <col min="2" max="2" width="18" customWidth="1"/>
    <col min="3" max="3" width="45" customWidth="1"/>
    <col min="4" max="4" width="15" customWidth="1"/>
    <col min="5" max="5" width="12" customWidth="1"/>
    <col min="6" max="6" width="22" customWidth="1"/>
    <col min="7" max="7" width="40" customWidth="1"/>
    <col min="8" max="26" width="8.6640625" customWidth="1"/>
  </cols>
  <sheetData>
    <row r="2" spans="2:7" ht="14.4" x14ac:dyDescent="0.3">
      <c r="B2" s="28" t="s">
        <v>0</v>
      </c>
      <c r="C2" s="29"/>
      <c r="D2" s="29"/>
      <c r="E2" s="29"/>
      <c r="F2" s="29"/>
      <c r="G2" s="29"/>
    </row>
    <row r="4" spans="2:7" ht="14.4" x14ac:dyDescent="0.3">
      <c r="B4" s="1" t="s">
        <v>1</v>
      </c>
      <c r="C4" s="2" t="s">
        <v>2</v>
      </c>
      <c r="F4" s="1" t="s">
        <v>3</v>
      </c>
      <c r="G4" s="2" t="s">
        <v>4</v>
      </c>
    </row>
    <row r="5" spans="2:7" ht="14.4" x14ac:dyDescent="0.3">
      <c r="B5" s="1" t="s">
        <v>6</v>
      </c>
      <c r="C5" s="2" t="s">
        <v>7</v>
      </c>
      <c r="F5" s="1" t="s">
        <v>8</v>
      </c>
      <c r="G5" s="2" t="s">
        <v>9</v>
      </c>
    </row>
    <row r="6" spans="2:7" ht="14.4" x14ac:dyDescent="0.3">
      <c r="B6" s="1" t="s">
        <v>10</v>
      </c>
      <c r="C6" s="2" t="s">
        <v>11</v>
      </c>
      <c r="F6" s="1" t="s">
        <v>12</v>
      </c>
      <c r="G6" s="2" t="s">
        <v>13</v>
      </c>
    </row>
    <row r="7" spans="2:7" ht="14.4" x14ac:dyDescent="0.3">
      <c r="B7" s="1" t="s">
        <v>14</v>
      </c>
      <c r="C7" s="2" t="s">
        <v>15</v>
      </c>
      <c r="F7" s="1" t="s">
        <v>16</v>
      </c>
      <c r="G7" s="2" t="s">
        <v>17</v>
      </c>
    </row>
    <row r="10" spans="2:7" ht="15.6" x14ac:dyDescent="0.3">
      <c r="B10" s="4" t="s">
        <v>18</v>
      </c>
    </row>
    <row r="11" spans="2:7" ht="14.4" x14ac:dyDescent="0.3">
      <c r="B11" s="6" t="s">
        <v>20</v>
      </c>
      <c r="C11" s="6" t="s">
        <v>16</v>
      </c>
      <c r="D11" s="6" t="s">
        <v>23</v>
      </c>
      <c r="E11" s="6" t="s">
        <v>24</v>
      </c>
      <c r="F11" s="6" t="s">
        <v>25</v>
      </c>
      <c r="G11" s="6" t="s">
        <v>26</v>
      </c>
    </row>
    <row r="12" spans="2:7" ht="55.2" x14ac:dyDescent="0.3">
      <c r="B12" s="8" t="s">
        <v>13</v>
      </c>
      <c r="C12" s="8">
        <v>1.2</v>
      </c>
      <c r="D12" s="9"/>
      <c r="E12" s="8" t="s">
        <v>31</v>
      </c>
      <c r="F12" s="9" t="s">
        <v>476</v>
      </c>
      <c r="G12" s="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2:G2"/>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000"/>
  <sheetViews>
    <sheetView topLeftCell="A6" workbookViewId="0"/>
  </sheetViews>
  <sheetFormatPr defaultColWidth="14.44140625" defaultRowHeight="15" customHeight="1" x14ac:dyDescent="0.3"/>
  <cols>
    <col min="1" max="1" width="8.6640625" customWidth="1"/>
    <col min="2" max="2" width="8" customWidth="1"/>
    <col min="3" max="3" width="38" customWidth="1"/>
    <col min="4" max="4" width="26" customWidth="1"/>
    <col min="5" max="5" width="45" customWidth="1"/>
    <col min="6" max="6" width="35" customWidth="1"/>
    <col min="7" max="26" width="8.6640625" customWidth="1"/>
  </cols>
  <sheetData>
    <row r="2" spans="2:6" ht="14.4" x14ac:dyDescent="0.3">
      <c r="B2" s="28" t="s">
        <v>5</v>
      </c>
      <c r="C2" s="29"/>
      <c r="D2" s="29"/>
      <c r="E2" s="29"/>
      <c r="F2" s="29"/>
    </row>
    <row r="4" spans="2:6" ht="14.4" x14ac:dyDescent="0.3">
      <c r="B4" s="3" t="s">
        <v>1</v>
      </c>
      <c r="D4" s="5" t="s">
        <v>19</v>
      </c>
    </row>
    <row r="5" spans="2:6" ht="14.4" x14ac:dyDescent="0.3">
      <c r="B5" s="3" t="s">
        <v>6</v>
      </c>
      <c r="D5" s="5" t="s">
        <v>7</v>
      </c>
    </row>
    <row r="6" spans="2:6" ht="165.6" x14ac:dyDescent="0.3">
      <c r="B6" s="3" t="s">
        <v>21</v>
      </c>
      <c r="D6" s="7" t="s">
        <v>22</v>
      </c>
    </row>
    <row r="8" spans="2:6" ht="14.4" x14ac:dyDescent="0.3">
      <c r="B8" s="6" t="s">
        <v>27</v>
      </c>
      <c r="C8" s="6" t="s">
        <v>28</v>
      </c>
      <c r="D8" s="6" t="s">
        <v>29</v>
      </c>
      <c r="E8" s="6" t="s">
        <v>30</v>
      </c>
      <c r="F8" s="6" t="s">
        <v>32</v>
      </c>
    </row>
    <row r="9" spans="2:6" ht="41.4" x14ac:dyDescent="0.3">
      <c r="B9" s="8">
        <v>1</v>
      </c>
      <c r="C9" s="9" t="s">
        <v>33</v>
      </c>
      <c r="D9" s="10" t="s">
        <v>35</v>
      </c>
      <c r="E9" s="9" t="s">
        <v>37</v>
      </c>
      <c r="F9" s="9" t="s">
        <v>38</v>
      </c>
    </row>
    <row r="10" spans="2:6" ht="41.4" x14ac:dyDescent="0.3">
      <c r="B10" s="8">
        <v>2</v>
      </c>
      <c r="C10" s="9" t="s">
        <v>40</v>
      </c>
      <c r="D10" s="8" t="s">
        <v>42</v>
      </c>
      <c r="E10" s="9" t="s">
        <v>45</v>
      </c>
      <c r="F10" s="9" t="s">
        <v>38</v>
      </c>
    </row>
    <row r="11" spans="2:6" ht="27.6" x14ac:dyDescent="0.3">
      <c r="B11" s="8">
        <v>3</v>
      </c>
      <c r="C11" s="9" t="s">
        <v>47</v>
      </c>
      <c r="D11" s="10" t="s">
        <v>49</v>
      </c>
      <c r="E11" s="9" t="s">
        <v>51</v>
      </c>
      <c r="F11" s="9" t="s">
        <v>38</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2:F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opLeftCell="A62" workbookViewId="0">
      <selection activeCell="C72" sqref="C72:C80"/>
    </sheetView>
  </sheetViews>
  <sheetFormatPr defaultColWidth="14.44140625" defaultRowHeight="15" customHeight="1" x14ac:dyDescent="0.3"/>
  <cols>
    <col min="1" max="1" width="29.109375" bestFit="1" customWidth="1"/>
    <col min="2" max="2" width="23.44140625" bestFit="1" customWidth="1"/>
    <col min="3" max="3" width="26.77734375" bestFit="1" customWidth="1"/>
    <col min="4" max="4" width="89.109375" bestFit="1" customWidth="1"/>
    <col min="5" max="5" width="9" bestFit="1" customWidth="1"/>
    <col min="6" max="6" width="5.109375" bestFit="1" customWidth="1"/>
    <col min="7" max="26" width="8.6640625" customWidth="1"/>
  </cols>
  <sheetData>
    <row r="1" spans="1:6" ht="14.4" x14ac:dyDescent="0.3">
      <c r="A1" s="6" t="s">
        <v>34</v>
      </c>
      <c r="B1" s="6" t="s">
        <v>36</v>
      </c>
      <c r="C1" s="6" t="s">
        <v>39</v>
      </c>
      <c r="D1" s="6" t="s">
        <v>41</v>
      </c>
      <c r="E1" s="6" t="s">
        <v>44</v>
      </c>
      <c r="F1" s="6" t="s">
        <v>46</v>
      </c>
    </row>
    <row r="2" spans="1:6" ht="14.4" x14ac:dyDescent="0.3">
      <c r="A2" s="11" t="s">
        <v>48</v>
      </c>
      <c r="B2" s="11" t="s">
        <v>55</v>
      </c>
      <c r="C2" s="30" t="s">
        <v>56</v>
      </c>
      <c r="D2" s="9" t="s">
        <v>58</v>
      </c>
      <c r="E2" s="14" t="s">
        <v>59</v>
      </c>
      <c r="F2" s="9"/>
    </row>
    <row r="3" spans="1:6" ht="14.4" x14ac:dyDescent="0.3">
      <c r="A3" s="9"/>
      <c r="B3" s="9"/>
      <c r="C3" s="31"/>
      <c r="D3" s="9" t="s">
        <v>63</v>
      </c>
      <c r="E3" s="14" t="s">
        <v>59</v>
      </c>
      <c r="F3" s="9"/>
    </row>
    <row r="4" spans="1:6" ht="27.6" x14ac:dyDescent="0.3">
      <c r="A4" s="9"/>
      <c r="B4" s="9"/>
      <c r="C4" s="32"/>
      <c r="D4" s="9" t="s">
        <v>66</v>
      </c>
      <c r="E4" s="14" t="s">
        <v>59</v>
      </c>
      <c r="F4" s="9"/>
    </row>
    <row r="5" spans="1:6" ht="14.4" x14ac:dyDescent="0.3">
      <c r="A5" s="9"/>
      <c r="B5" s="9"/>
      <c r="C5" s="30" t="s">
        <v>67</v>
      </c>
      <c r="D5" s="9" t="s">
        <v>68</v>
      </c>
      <c r="E5" s="15" t="s">
        <v>69</v>
      </c>
      <c r="F5" s="9"/>
    </row>
    <row r="6" spans="1:6" ht="14.4" x14ac:dyDescent="0.3">
      <c r="A6" s="9"/>
      <c r="B6" s="9"/>
      <c r="C6" s="31"/>
      <c r="D6" s="9" t="s">
        <v>70</v>
      </c>
      <c r="E6" s="15" t="s">
        <v>69</v>
      </c>
      <c r="F6" s="9"/>
    </row>
    <row r="7" spans="1:6" ht="14.4" x14ac:dyDescent="0.3">
      <c r="A7" s="9"/>
      <c r="B7" s="9"/>
      <c r="C7" s="31"/>
      <c r="D7" s="9" t="s">
        <v>71</v>
      </c>
      <c r="E7" s="15" t="s">
        <v>69</v>
      </c>
      <c r="F7" s="9"/>
    </row>
    <row r="8" spans="1:6" ht="14.4" x14ac:dyDescent="0.3">
      <c r="A8" s="9"/>
      <c r="B8" s="9"/>
      <c r="C8" s="32"/>
      <c r="D8" s="9" t="s">
        <v>72</v>
      </c>
      <c r="E8" s="15" t="s">
        <v>69</v>
      </c>
      <c r="F8" s="9"/>
    </row>
    <row r="9" spans="1:6" ht="14.4" x14ac:dyDescent="0.3">
      <c r="A9" s="9"/>
      <c r="B9" s="9"/>
      <c r="C9" s="30" t="s">
        <v>73</v>
      </c>
      <c r="D9" s="9" t="s">
        <v>74</v>
      </c>
      <c r="E9" s="15" t="s">
        <v>69</v>
      </c>
      <c r="F9" s="9"/>
    </row>
    <row r="10" spans="1:6" ht="14.4" x14ac:dyDescent="0.3">
      <c r="A10" s="9"/>
      <c r="B10" s="9"/>
      <c r="C10" s="31"/>
      <c r="D10" s="9" t="s">
        <v>75</v>
      </c>
      <c r="E10" s="15" t="s">
        <v>69</v>
      </c>
      <c r="F10" s="9"/>
    </row>
    <row r="11" spans="1:6" ht="14.4" x14ac:dyDescent="0.3">
      <c r="A11" s="9"/>
      <c r="B11" s="9"/>
      <c r="C11" s="31"/>
      <c r="D11" s="9" t="s">
        <v>76</v>
      </c>
      <c r="E11" s="15" t="s">
        <v>69</v>
      </c>
      <c r="F11" s="9"/>
    </row>
    <row r="12" spans="1:6" ht="14.4" x14ac:dyDescent="0.3">
      <c r="A12" s="9"/>
      <c r="B12" s="9"/>
      <c r="C12" s="31"/>
      <c r="D12" s="9" t="s">
        <v>77</v>
      </c>
      <c r="E12" s="15" t="s">
        <v>69</v>
      </c>
      <c r="F12" s="9"/>
    </row>
    <row r="13" spans="1:6" ht="14.4" x14ac:dyDescent="0.3">
      <c r="A13" s="9"/>
      <c r="B13" s="9"/>
      <c r="C13" s="31"/>
      <c r="D13" s="9" t="s">
        <v>78</v>
      </c>
      <c r="E13" s="15" t="s">
        <v>69</v>
      </c>
      <c r="F13" s="9"/>
    </row>
    <row r="14" spans="1:6" ht="14.4" x14ac:dyDescent="0.3">
      <c r="A14" s="9"/>
      <c r="B14" s="9"/>
      <c r="C14" s="31"/>
      <c r="D14" s="9" t="s">
        <v>79</v>
      </c>
      <c r="E14" s="15" t="s">
        <v>69</v>
      </c>
      <c r="F14" s="9"/>
    </row>
    <row r="15" spans="1:6" ht="14.4" x14ac:dyDescent="0.3">
      <c r="A15" s="9"/>
      <c r="B15" s="9"/>
      <c r="C15" s="31"/>
      <c r="D15" s="9" t="s">
        <v>80</v>
      </c>
      <c r="E15" s="15" t="s">
        <v>69</v>
      </c>
      <c r="F15" s="9"/>
    </row>
    <row r="16" spans="1:6" ht="14.4" x14ac:dyDescent="0.3">
      <c r="A16" s="9"/>
      <c r="B16" s="9"/>
      <c r="C16" s="31"/>
      <c r="D16" s="9" t="s">
        <v>81</v>
      </c>
      <c r="E16" s="15" t="s">
        <v>69</v>
      </c>
      <c r="F16" s="9"/>
    </row>
    <row r="17" spans="1:6" ht="14.4" x14ac:dyDescent="0.3">
      <c r="A17" s="9"/>
      <c r="B17" s="9"/>
      <c r="C17" s="31"/>
      <c r="D17" s="9" t="s">
        <v>82</v>
      </c>
      <c r="E17" s="15" t="s">
        <v>69</v>
      </c>
      <c r="F17" s="9"/>
    </row>
    <row r="18" spans="1:6" ht="14.4" x14ac:dyDescent="0.3">
      <c r="A18" s="9"/>
      <c r="B18" s="9"/>
      <c r="C18" s="31"/>
      <c r="D18" s="9" t="s">
        <v>83</v>
      </c>
      <c r="E18" s="15" t="s">
        <v>69</v>
      </c>
      <c r="F18" s="9"/>
    </row>
    <row r="19" spans="1:6" ht="14.4" x14ac:dyDescent="0.3">
      <c r="A19" s="9"/>
      <c r="B19" s="9"/>
      <c r="C19" s="31"/>
      <c r="D19" s="9" t="s">
        <v>84</v>
      </c>
      <c r="E19" s="15" t="s">
        <v>69</v>
      </c>
      <c r="F19" s="9"/>
    </row>
    <row r="20" spans="1:6" ht="14.4" x14ac:dyDescent="0.3">
      <c r="A20" s="9"/>
      <c r="B20" s="9"/>
      <c r="C20" s="31"/>
      <c r="D20" s="9" t="s">
        <v>85</v>
      </c>
      <c r="E20" s="15" t="s">
        <v>69</v>
      </c>
      <c r="F20" s="9"/>
    </row>
    <row r="21" spans="1:6" ht="14.4" x14ac:dyDescent="0.3">
      <c r="A21" s="9"/>
      <c r="B21" s="9"/>
      <c r="C21" s="32"/>
      <c r="D21" s="9" t="s">
        <v>86</v>
      </c>
      <c r="E21" s="15" t="s">
        <v>69</v>
      </c>
      <c r="F21" s="9"/>
    </row>
    <row r="22" spans="1:6" ht="14.4" x14ac:dyDescent="0.3">
      <c r="A22" s="9"/>
      <c r="B22" s="9"/>
      <c r="C22" s="30" t="s">
        <v>87</v>
      </c>
      <c r="D22" s="9" t="s">
        <v>88</v>
      </c>
      <c r="E22" s="15" t="s">
        <v>69</v>
      </c>
      <c r="F22" s="9"/>
    </row>
    <row r="23" spans="1:6" ht="14.4" x14ac:dyDescent="0.3">
      <c r="A23" s="9"/>
      <c r="B23" s="9"/>
      <c r="C23" s="31"/>
      <c r="D23" s="9" t="s">
        <v>89</v>
      </c>
      <c r="E23" s="15" t="s">
        <v>69</v>
      </c>
      <c r="F23" s="9"/>
    </row>
    <row r="24" spans="1:6" ht="14.4" x14ac:dyDescent="0.3">
      <c r="A24" s="9"/>
      <c r="B24" s="9"/>
      <c r="C24" s="31"/>
      <c r="D24" s="9" t="s">
        <v>90</v>
      </c>
      <c r="E24" s="15" t="s">
        <v>69</v>
      </c>
      <c r="F24" s="9"/>
    </row>
    <row r="25" spans="1:6" ht="14.4" x14ac:dyDescent="0.3">
      <c r="A25" s="9"/>
      <c r="B25" s="9"/>
      <c r="C25" s="32"/>
      <c r="D25" s="9" t="s">
        <v>91</v>
      </c>
      <c r="E25" s="15" t="s">
        <v>69</v>
      </c>
      <c r="F25" s="9"/>
    </row>
    <row r="26" spans="1:6" ht="14.4" x14ac:dyDescent="0.3">
      <c r="A26" s="9"/>
      <c r="B26" s="9"/>
      <c r="C26" s="30" t="s">
        <v>92</v>
      </c>
      <c r="D26" s="9" t="s">
        <v>93</v>
      </c>
      <c r="E26" s="15" t="s">
        <v>69</v>
      </c>
      <c r="F26" s="9"/>
    </row>
    <row r="27" spans="1:6" ht="14.4" x14ac:dyDescent="0.3">
      <c r="A27" s="9"/>
      <c r="B27" s="9"/>
      <c r="C27" s="31"/>
      <c r="D27" s="9" t="s">
        <v>94</v>
      </c>
      <c r="E27" s="15" t="s">
        <v>69</v>
      </c>
      <c r="F27" s="9"/>
    </row>
    <row r="28" spans="1:6" ht="14.4" x14ac:dyDescent="0.3">
      <c r="A28" s="9"/>
      <c r="B28" s="9"/>
      <c r="C28" s="32"/>
      <c r="D28" s="9" t="s">
        <v>95</v>
      </c>
      <c r="E28" s="15" t="s">
        <v>69</v>
      </c>
      <c r="F28" s="9"/>
    </row>
    <row r="29" spans="1:6" ht="14.4" x14ac:dyDescent="0.3">
      <c r="A29" s="9"/>
      <c r="B29" s="9"/>
      <c r="C29" s="30" t="s">
        <v>96</v>
      </c>
      <c r="D29" s="9" t="s">
        <v>97</v>
      </c>
      <c r="E29" s="15" t="s">
        <v>69</v>
      </c>
      <c r="F29" s="9"/>
    </row>
    <row r="30" spans="1:6" ht="14.4" x14ac:dyDescent="0.3">
      <c r="A30" s="9"/>
      <c r="B30" s="9"/>
      <c r="C30" s="32"/>
      <c r="D30" s="9" t="s">
        <v>98</v>
      </c>
      <c r="E30" s="14" t="s">
        <v>59</v>
      </c>
      <c r="F30" s="9"/>
    </row>
    <row r="31" spans="1:6" ht="14.4" x14ac:dyDescent="0.3">
      <c r="A31" s="9"/>
      <c r="B31" s="9"/>
      <c r="C31" s="30" t="s">
        <v>99</v>
      </c>
      <c r="D31" s="9" t="s">
        <v>100</v>
      </c>
      <c r="E31" s="15" t="s">
        <v>69</v>
      </c>
      <c r="F31" s="9"/>
    </row>
    <row r="32" spans="1:6" ht="14.4" x14ac:dyDescent="0.3">
      <c r="A32" s="9"/>
      <c r="B32" s="9"/>
      <c r="C32" s="31"/>
      <c r="D32" s="9" t="s">
        <v>103</v>
      </c>
      <c r="E32" s="15" t="s">
        <v>69</v>
      </c>
      <c r="F32" s="9"/>
    </row>
    <row r="33" spans="1:6" ht="14.4" x14ac:dyDescent="0.3">
      <c r="A33" s="9"/>
      <c r="B33" s="9"/>
      <c r="C33" s="32"/>
      <c r="D33" s="9" t="s">
        <v>108</v>
      </c>
      <c r="E33" s="15" t="s">
        <v>69</v>
      </c>
      <c r="F33" s="9"/>
    </row>
    <row r="34" spans="1:6" ht="14.4" x14ac:dyDescent="0.3">
      <c r="A34" s="9"/>
      <c r="B34" s="9"/>
      <c r="C34" s="30" t="s">
        <v>110</v>
      </c>
      <c r="D34" s="9" t="s">
        <v>112</v>
      </c>
      <c r="E34" s="15" t="s">
        <v>69</v>
      </c>
      <c r="F34" s="9"/>
    </row>
    <row r="35" spans="1:6" ht="14.4" x14ac:dyDescent="0.3">
      <c r="A35" s="9"/>
      <c r="B35" s="9"/>
      <c r="C35" s="31"/>
      <c r="D35" s="9" t="s">
        <v>114</v>
      </c>
      <c r="E35" s="15" t="s">
        <v>69</v>
      </c>
      <c r="F35" s="9"/>
    </row>
    <row r="36" spans="1:6" ht="14.4" x14ac:dyDescent="0.3">
      <c r="A36" s="9"/>
      <c r="B36" s="9"/>
      <c r="C36" s="32"/>
      <c r="D36" s="9" t="s">
        <v>117</v>
      </c>
      <c r="E36" s="15" t="s">
        <v>69</v>
      </c>
      <c r="F36" s="9"/>
    </row>
    <row r="37" spans="1:6" ht="14.4" x14ac:dyDescent="0.3">
      <c r="A37" s="9"/>
      <c r="B37" s="9"/>
      <c r="C37" s="30" t="s">
        <v>119</v>
      </c>
      <c r="D37" s="9" t="s">
        <v>121</v>
      </c>
      <c r="E37" s="15" t="s">
        <v>69</v>
      </c>
      <c r="F37" s="9"/>
    </row>
    <row r="38" spans="1:6" ht="14.4" x14ac:dyDescent="0.3">
      <c r="A38" s="9"/>
      <c r="B38" s="9"/>
      <c r="C38" s="31"/>
      <c r="D38" s="9" t="s">
        <v>124</v>
      </c>
      <c r="E38" s="15" t="s">
        <v>69</v>
      </c>
      <c r="F38" s="9"/>
    </row>
    <row r="39" spans="1:6" ht="14.4" x14ac:dyDescent="0.3">
      <c r="A39" s="9"/>
      <c r="B39" s="9"/>
      <c r="C39" s="32"/>
      <c r="D39" s="9" t="s">
        <v>126</v>
      </c>
      <c r="E39" s="15" t="s">
        <v>69</v>
      </c>
      <c r="F39" s="9"/>
    </row>
    <row r="40" spans="1:6" ht="14.4" x14ac:dyDescent="0.3">
      <c r="A40" s="9"/>
      <c r="B40" s="9"/>
      <c r="C40" s="30" t="s">
        <v>129</v>
      </c>
      <c r="D40" s="9" t="s">
        <v>131</v>
      </c>
      <c r="E40" s="15" t="s">
        <v>69</v>
      </c>
      <c r="F40" s="9"/>
    </row>
    <row r="41" spans="1:6" ht="14.4" x14ac:dyDescent="0.3">
      <c r="A41" s="9"/>
      <c r="B41" s="9"/>
      <c r="C41" s="31"/>
      <c r="D41" s="9" t="s">
        <v>132</v>
      </c>
      <c r="E41" s="15" t="s">
        <v>69</v>
      </c>
      <c r="F41" s="9"/>
    </row>
    <row r="42" spans="1:6" ht="14.4" x14ac:dyDescent="0.3">
      <c r="A42" s="9"/>
      <c r="B42" s="9"/>
      <c r="C42" s="31"/>
      <c r="D42" s="9" t="s">
        <v>134</v>
      </c>
      <c r="E42" s="15" t="s">
        <v>69</v>
      </c>
      <c r="F42" s="9"/>
    </row>
    <row r="43" spans="1:6" ht="14.4" x14ac:dyDescent="0.3">
      <c r="A43" s="9"/>
      <c r="B43" s="9"/>
      <c r="C43" s="32"/>
      <c r="D43" s="9" t="s">
        <v>138</v>
      </c>
      <c r="E43" s="15" t="s">
        <v>69</v>
      </c>
      <c r="F43" s="9"/>
    </row>
    <row r="44" spans="1:6" ht="14.4" x14ac:dyDescent="0.3">
      <c r="A44" s="9"/>
      <c r="B44" s="9"/>
      <c r="C44" s="30" t="s">
        <v>140</v>
      </c>
      <c r="D44" s="9" t="s">
        <v>144</v>
      </c>
      <c r="E44" s="15" t="s">
        <v>69</v>
      </c>
      <c r="F44" s="9"/>
    </row>
    <row r="45" spans="1:6" ht="14.4" x14ac:dyDescent="0.3">
      <c r="A45" s="9"/>
      <c r="B45" s="9"/>
      <c r="C45" s="32"/>
      <c r="D45" s="9" t="s">
        <v>147</v>
      </c>
      <c r="E45" s="15" t="s">
        <v>69</v>
      </c>
      <c r="F45" s="9"/>
    </row>
    <row r="46" spans="1:6" ht="14.4" x14ac:dyDescent="0.3">
      <c r="A46" s="9"/>
      <c r="B46" s="11" t="s">
        <v>150</v>
      </c>
      <c r="C46" s="30" t="s">
        <v>56</v>
      </c>
      <c r="D46" s="9" t="s">
        <v>154</v>
      </c>
      <c r="E46" s="14" t="s">
        <v>59</v>
      </c>
      <c r="F46" s="9"/>
    </row>
    <row r="47" spans="1:6" ht="14.4" x14ac:dyDescent="0.3">
      <c r="A47" s="9"/>
      <c r="B47" s="9"/>
      <c r="C47" s="32"/>
      <c r="D47" s="9" t="s">
        <v>157</v>
      </c>
      <c r="E47" s="14" t="s">
        <v>59</v>
      </c>
      <c r="F47" s="9"/>
    </row>
    <row r="48" spans="1:6" ht="14.4" x14ac:dyDescent="0.3">
      <c r="A48" s="9"/>
      <c r="B48" s="9"/>
      <c r="C48" s="30" t="s">
        <v>161</v>
      </c>
      <c r="D48" s="9" t="s">
        <v>169</v>
      </c>
      <c r="E48" s="15" t="s">
        <v>69</v>
      </c>
      <c r="F48" s="9"/>
    </row>
    <row r="49" spans="1:6" ht="14.4" x14ac:dyDescent="0.3">
      <c r="A49" s="9"/>
      <c r="B49" s="9"/>
      <c r="C49" s="31"/>
      <c r="D49" s="9" t="s">
        <v>173</v>
      </c>
      <c r="E49" s="15" t="s">
        <v>69</v>
      </c>
      <c r="F49" s="9"/>
    </row>
    <row r="50" spans="1:6" ht="14.4" x14ac:dyDescent="0.3">
      <c r="A50" s="9"/>
      <c r="B50" s="9"/>
      <c r="C50" s="31"/>
      <c r="D50" s="9" t="s">
        <v>468</v>
      </c>
      <c r="E50" s="15" t="s">
        <v>69</v>
      </c>
      <c r="F50" s="9"/>
    </row>
    <row r="51" spans="1:6" ht="14.4" x14ac:dyDescent="0.3">
      <c r="A51" s="9"/>
      <c r="B51" s="9"/>
      <c r="C51" s="31"/>
      <c r="D51" s="9" t="s">
        <v>181</v>
      </c>
      <c r="E51" s="15" t="s">
        <v>69</v>
      </c>
      <c r="F51" s="9"/>
    </row>
    <row r="52" spans="1:6" ht="14.4" x14ac:dyDescent="0.3">
      <c r="A52" s="9"/>
      <c r="B52" s="9"/>
      <c r="C52" s="31"/>
      <c r="D52" s="9" t="s">
        <v>183</v>
      </c>
      <c r="E52" s="15" t="s">
        <v>69</v>
      </c>
      <c r="F52" s="9"/>
    </row>
    <row r="53" spans="1:6" ht="14.4" x14ac:dyDescent="0.3">
      <c r="A53" s="9"/>
      <c r="B53" s="9"/>
      <c r="C53" s="31"/>
      <c r="D53" s="9" t="s">
        <v>188</v>
      </c>
      <c r="E53" s="15" t="s">
        <v>69</v>
      </c>
      <c r="F53" s="9"/>
    </row>
    <row r="54" spans="1:6" ht="14.4" x14ac:dyDescent="0.3">
      <c r="A54" s="9"/>
      <c r="B54" s="9"/>
      <c r="C54" s="32"/>
      <c r="D54" s="9" t="s">
        <v>191</v>
      </c>
      <c r="E54" s="15" t="s">
        <v>69</v>
      </c>
      <c r="F54" s="9"/>
    </row>
    <row r="55" spans="1:6" ht="14.4" x14ac:dyDescent="0.3">
      <c r="A55" s="9"/>
      <c r="B55" s="9"/>
      <c r="C55" s="30" t="s">
        <v>195</v>
      </c>
      <c r="D55" s="9" t="s">
        <v>201</v>
      </c>
      <c r="E55" s="15" t="s">
        <v>69</v>
      </c>
      <c r="F55" s="9"/>
    </row>
    <row r="56" spans="1:6" ht="14.4" x14ac:dyDescent="0.3">
      <c r="A56" s="9"/>
      <c r="B56" s="9"/>
      <c r="C56" s="32"/>
      <c r="D56" s="9" t="s">
        <v>202</v>
      </c>
      <c r="E56" s="15" t="s">
        <v>69</v>
      </c>
      <c r="F56" s="9"/>
    </row>
    <row r="57" spans="1:6" ht="14.4" x14ac:dyDescent="0.3">
      <c r="A57" s="9"/>
      <c r="B57" s="9"/>
      <c r="C57" s="30" t="s">
        <v>203</v>
      </c>
      <c r="D57" s="9" t="s">
        <v>204</v>
      </c>
      <c r="E57" s="15" t="s">
        <v>69</v>
      </c>
      <c r="F57" s="9"/>
    </row>
    <row r="58" spans="1:6" ht="14.4" x14ac:dyDescent="0.3">
      <c r="A58" s="9"/>
      <c r="B58" s="9"/>
      <c r="C58" s="31"/>
      <c r="D58" s="9" t="s">
        <v>205</v>
      </c>
      <c r="E58" s="15" t="s">
        <v>69</v>
      </c>
      <c r="F58" s="9"/>
    </row>
    <row r="59" spans="1:6" ht="14.4" x14ac:dyDescent="0.3">
      <c r="A59" s="9"/>
      <c r="B59" s="9"/>
      <c r="C59" s="31"/>
      <c r="D59" s="9" t="s">
        <v>206</v>
      </c>
      <c r="E59" s="15" t="s">
        <v>69</v>
      </c>
      <c r="F59" s="9"/>
    </row>
    <row r="60" spans="1:6" ht="14.4" x14ac:dyDescent="0.3">
      <c r="A60" s="9"/>
      <c r="B60" s="9"/>
      <c r="C60" s="31"/>
      <c r="D60" s="9" t="s">
        <v>207</v>
      </c>
      <c r="E60" s="15" t="s">
        <v>69</v>
      </c>
      <c r="F60" s="9"/>
    </row>
    <row r="61" spans="1:6" ht="14.4" x14ac:dyDescent="0.3">
      <c r="A61" s="9"/>
      <c r="B61" s="9"/>
      <c r="C61" s="31"/>
      <c r="D61" s="9" t="s">
        <v>210</v>
      </c>
      <c r="E61" s="15" t="s">
        <v>69</v>
      </c>
      <c r="F61" s="9"/>
    </row>
    <row r="62" spans="1:6" ht="14.4" x14ac:dyDescent="0.3">
      <c r="A62" s="9"/>
      <c r="B62" s="9"/>
      <c r="C62" s="32"/>
      <c r="D62" s="9" t="s">
        <v>215</v>
      </c>
      <c r="E62" s="15" t="s">
        <v>69</v>
      </c>
      <c r="F62" s="9"/>
    </row>
    <row r="63" spans="1:6" ht="14.4" x14ac:dyDescent="0.3">
      <c r="A63" s="9"/>
      <c r="B63" s="9"/>
      <c r="C63" s="30" t="s">
        <v>218</v>
      </c>
      <c r="D63" s="9" t="s">
        <v>222</v>
      </c>
      <c r="E63" s="15" t="s">
        <v>69</v>
      </c>
      <c r="F63" s="9"/>
    </row>
    <row r="64" spans="1:6" ht="14.4" x14ac:dyDescent="0.3">
      <c r="A64" s="9"/>
      <c r="B64" s="9"/>
      <c r="C64" s="31"/>
      <c r="D64" s="9" t="s">
        <v>225</v>
      </c>
      <c r="E64" s="15" t="s">
        <v>69</v>
      </c>
      <c r="F64" s="9"/>
    </row>
    <row r="65" spans="1:6" ht="14.4" x14ac:dyDescent="0.3">
      <c r="A65" s="9"/>
      <c r="B65" s="9"/>
      <c r="C65" s="32"/>
      <c r="D65" s="9" t="s">
        <v>229</v>
      </c>
      <c r="E65" s="15" t="s">
        <v>69</v>
      </c>
      <c r="F65" s="9"/>
    </row>
    <row r="66" spans="1:6" ht="14.4" x14ac:dyDescent="0.3">
      <c r="A66" s="9"/>
      <c r="B66" s="11" t="s">
        <v>231</v>
      </c>
      <c r="C66" s="30" t="s">
        <v>233</v>
      </c>
      <c r="D66" s="9" t="s">
        <v>237</v>
      </c>
      <c r="E66" s="14" t="s">
        <v>59</v>
      </c>
      <c r="F66" s="9"/>
    </row>
    <row r="67" spans="1:6" ht="14.4" x14ac:dyDescent="0.3">
      <c r="A67" s="9"/>
      <c r="B67" s="9"/>
      <c r="C67" s="31"/>
      <c r="D67" s="9" t="s">
        <v>239</v>
      </c>
      <c r="E67" s="15" t="s">
        <v>69</v>
      </c>
      <c r="F67" s="9"/>
    </row>
    <row r="68" spans="1:6" ht="14.4" x14ac:dyDescent="0.3">
      <c r="A68" s="9"/>
      <c r="B68" s="9"/>
      <c r="C68" s="31"/>
      <c r="D68" s="9" t="s">
        <v>243</v>
      </c>
      <c r="E68" s="15" t="s">
        <v>69</v>
      </c>
      <c r="F68" s="9"/>
    </row>
    <row r="69" spans="1:6" ht="14.4" x14ac:dyDescent="0.3">
      <c r="A69" s="9"/>
      <c r="B69" s="9"/>
      <c r="C69" s="31"/>
      <c r="D69" s="9" t="s">
        <v>246</v>
      </c>
      <c r="E69" s="15" t="s">
        <v>69</v>
      </c>
      <c r="F69" s="9"/>
    </row>
    <row r="70" spans="1:6" ht="14.4" x14ac:dyDescent="0.3">
      <c r="A70" s="9"/>
      <c r="B70" s="9"/>
      <c r="C70" s="31"/>
      <c r="D70" s="9" t="s">
        <v>248</v>
      </c>
      <c r="E70" s="15" t="s">
        <v>69</v>
      </c>
      <c r="F70" s="9"/>
    </row>
    <row r="71" spans="1:6" ht="14.4" x14ac:dyDescent="0.3">
      <c r="A71" s="9"/>
      <c r="B71" s="9"/>
      <c r="C71" s="32"/>
      <c r="D71" s="9" t="s">
        <v>251</v>
      </c>
      <c r="E71" s="15" t="s">
        <v>69</v>
      </c>
      <c r="F71" s="9"/>
    </row>
    <row r="72" spans="1:6" ht="14.4" x14ac:dyDescent="0.3">
      <c r="A72" s="9"/>
      <c r="B72" s="9"/>
      <c r="C72" s="30" t="s">
        <v>253</v>
      </c>
      <c r="D72" s="9" t="s">
        <v>257</v>
      </c>
      <c r="E72" s="15" t="s">
        <v>69</v>
      </c>
      <c r="F72" s="9"/>
    </row>
    <row r="73" spans="1:6" ht="14.4" x14ac:dyDescent="0.3">
      <c r="A73" s="9"/>
      <c r="B73" s="9"/>
      <c r="C73" s="33"/>
      <c r="D73" s="9" t="s">
        <v>260</v>
      </c>
      <c r="E73" s="15" t="s">
        <v>69</v>
      </c>
      <c r="F73" s="9"/>
    </row>
    <row r="74" spans="1:6" ht="14.4" x14ac:dyDescent="0.3">
      <c r="A74" s="9"/>
      <c r="B74" s="9"/>
      <c r="C74" s="33"/>
      <c r="D74" s="9" t="s">
        <v>262</v>
      </c>
      <c r="E74" s="15" t="s">
        <v>69</v>
      </c>
      <c r="F74" s="9"/>
    </row>
    <row r="75" spans="1:6" ht="14.4" x14ac:dyDescent="0.3">
      <c r="A75" s="9"/>
      <c r="B75" s="9"/>
      <c r="C75" s="33"/>
      <c r="D75" s="9" t="s">
        <v>265</v>
      </c>
      <c r="E75" s="15" t="s">
        <v>69</v>
      </c>
      <c r="F75" s="9"/>
    </row>
    <row r="76" spans="1:6" ht="14.4" x14ac:dyDescent="0.3">
      <c r="A76" s="9"/>
      <c r="B76" s="9"/>
      <c r="C76" s="33"/>
      <c r="D76" s="9" t="s">
        <v>267</v>
      </c>
      <c r="E76" s="15" t="s">
        <v>69</v>
      </c>
      <c r="F76" s="9"/>
    </row>
    <row r="77" spans="1:6" ht="14.4" x14ac:dyDescent="0.3">
      <c r="A77" s="9"/>
      <c r="B77" s="9"/>
      <c r="C77" s="33"/>
      <c r="D77" s="9" t="s">
        <v>273</v>
      </c>
      <c r="E77" s="15" t="s">
        <v>69</v>
      </c>
      <c r="F77" s="9"/>
    </row>
    <row r="78" spans="1:6" ht="14.4" x14ac:dyDescent="0.3">
      <c r="A78" s="9"/>
      <c r="B78" s="9"/>
      <c r="C78" s="33"/>
      <c r="D78" s="9" t="s">
        <v>276</v>
      </c>
      <c r="E78" s="15" t="s">
        <v>69</v>
      </c>
      <c r="F78" s="9"/>
    </row>
    <row r="79" spans="1:6" ht="14.4" x14ac:dyDescent="0.3">
      <c r="A79" s="9"/>
      <c r="B79" s="9"/>
      <c r="C79" s="33"/>
      <c r="D79" s="9" t="s">
        <v>280</v>
      </c>
      <c r="E79" s="15" t="s">
        <v>69</v>
      </c>
      <c r="F79" s="9"/>
    </row>
    <row r="80" spans="1:6" ht="14.4" x14ac:dyDescent="0.3">
      <c r="A80" s="9"/>
      <c r="B80" s="9"/>
      <c r="C80" s="34"/>
      <c r="D80" s="9" t="s">
        <v>284</v>
      </c>
      <c r="E80" s="15" t="s">
        <v>69</v>
      </c>
      <c r="F80" s="9"/>
    </row>
    <row r="81" spans="1:6" ht="14.4" x14ac:dyDescent="0.3">
      <c r="A81" s="9"/>
      <c r="B81" s="9"/>
      <c r="C81" s="30" t="s">
        <v>287</v>
      </c>
      <c r="D81" s="9" t="s">
        <v>290</v>
      </c>
      <c r="E81" s="15" t="s">
        <v>69</v>
      </c>
      <c r="F81" s="9"/>
    </row>
    <row r="82" spans="1:6" ht="14.4" x14ac:dyDescent="0.3">
      <c r="A82" s="9"/>
      <c r="B82" s="9"/>
      <c r="C82" s="32"/>
      <c r="D82" s="9" t="s">
        <v>295</v>
      </c>
      <c r="E82" s="15" t="s">
        <v>69</v>
      </c>
      <c r="F82" s="9"/>
    </row>
    <row r="83" spans="1:6" ht="14.4" x14ac:dyDescent="0.3">
      <c r="A83" s="9"/>
      <c r="B83" s="9"/>
      <c r="C83" s="12" t="s">
        <v>299</v>
      </c>
      <c r="D83" s="9" t="s">
        <v>305</v>
      </c>
      <c r="E83" s="15" t="s">
        <v>69</v>
      </c>
      <c r="F83" s="9"/>
    </row>
    <row r="84" spans="1:6" ht="14.4" x14ac:dyDescent="0.3">
      <c r="A84" s="9"/>
      <c r="B84" s="9"/>
      <c r="C84" s="22" t="s">
        <v>311</v>
      </c>
      <c r="D84" s="9" t="s">
        <v>314</v>
      </c>
      <c r="E84" s="15" t="s">
        <v>69</v>
      </c>
      <c r="F84" s="9"/>
    </row>
    <row r="85" spans="1:6" ht="14.4" x14ac:dyDescent="0.3">
      <c r="A85" s="9"/>
      <c r="B85" s="9"/>
      <c r="C85" s="23" t="s">
        <v>318</v>
      </c>
      <c r="D85" s="9" t="s">
        <v>322</v>
      </c>
      <c r="E85" s="15" t="s">
        <v>69</v>
      </c>
      <c r="F85" s="9"/>
    </row>
    <row r="86" spans="1:6" ht="15.75" customHeight="1" x14ac:dyDescent="0.3"/>
    <row r="87" spans="1:6" ht="15.75" customHeight="1" x14ac:dyDescent="0.3"/>
    <row r="88" spans="1:6" ht="15.75" customHeight="1" x14ac:dyDescent="0.3"/>
    <row r="89" spans="1:6" ht="15.75" customHeight="1" x14ac:dyDescent="0.3"/>
    <row r="90" spans="1:6" ht="15.75" customHeight="1" x14ac:dyDescent="0.3"/>
    <row r="91" spans="1:6" ht="15.75" customHeight="1" x14ac:dyDescent="0.3"/>
    <row r="92" spans="1:6" ht="15.75" customHeight="1" x14ac:dyDescent="0.3"/>
    <row r="93" spans="1:6" ht="15.75" customHeight="1" x14ac:dyDescent="0.3"/>
    <row r="94" spans="1:6" ht="15.75" customHeight="1" x14ac:dyDescent="0.3"/>
    <row r="95" spans="1:6" ht="15.75" customHeight="1" x14ac:dyDescent="0.3"/>
    <row r="96" spans="1: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9">
    <mergeCell ref="C81:C82"/>
    <mergeCell ref="C34:C36"/>
    <mergeCell ref="C37:C39"/>
    <mergeCell ref="C40:C43"/>
    <mergeCell ref="C44:C45"/>
    <mergeCell ref="C46:C47"/>
    <mergeCell ref="C48:C54"/>
    <mergeCell ref="C55:C56"/>
    <mergeCell ref="C72:C80"/>
    <mergeCell ref="C29:C30"/>
    <mergeCell ref="C31:C33"/>
    <mergeCell ref="C57:C62"/>
    <mergeCell ref="C63:C65"/>
    <mergeCell ref="C66:C71"/>
    <mergeCell ref="C2:C4"/>
    <mergeCell ref="C5:C8"/>
    <mergeCell ref="C9:C21"/>
    <mergeCell ref="C22:C25"/>
    <mergeCell ref="C26:C28"/>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52"/>
  <sheetViews>
    <sheetView topLeftCell="A43" zoomScaleNormal="100" workbookViewId="0">
      <selection activeCell="I33" sqref="I33"/>
    </sheetView>
  </sheetViews>
  <sheetFormatPr defaultColWidth="14.44140625" defaultRowHeight="14.4" x14ac:dyDescent="0.3"/>
  <cols>
    <col min="1" max="1" width="14.88671875" bestFit="1" customWidth="1"/>
    <col min="2" max="2" width="79.88671875" bestFit="1" customWidth="1"/>
    <col min="3" max="3" width="44.5546875" bestFit="1" customWidth="1"/>
    <col min="4" max="4" width="104.21875" bestFit="1" customWidth="1"/>
    <col min="5" max="5" width="24.21875" bestFit="1" customWidth="1"/>
    <col min="6" max="6" width="9.44140625" bestFit="1" customWidth="1"/>
    <col min="7" max="7" width="10.5546875" bestFit="1" customWidth="1"/>
    <col min="8" max="8" width="10.5546875" customWidth="1"/>
    <col min="9" max="26" width="8.6640625" customWidth="1"/>
  </cols>
  <sheetData>
    <row r="2" spans="1:8" x14ac:dyDescent="0.3">
      <c r="A2" s="1" t="s">
        <v>43</v>
      </c>
      <c r="B2" s="2" t="s">
        <v>50</v>
      </c>
    </row>
    <row r="3" spans="1:8" x14ac:dyDescent="0.3">
      <c r="A3" s="1" t="s">
        <v>52</v>
      </c>
      <c r="B3" s="2" t="s">
        <v>53</v>
      </c>
    </row>
    <row r="4" spans="1:8" x14ac:dyDescent="0.3">
      <c r="A4" s="1" t="s">
        <v>54</v>
      </c>
      <c r="B4" s="2" t="s">
        <v>4</v>
      </c>
    </row>
    <row r="5" spans="1:8" ht="27.6" x14ac:dyDescent="0.3">
      <c r="A5" s="13" t="s">
        <v>57</v>
      </c>
      <c r="B5" s="13" t="s">
        <v>60</v>
      </c>
      <c r="C5" s="13" t="s">
        <v>61</v>
      </c>
      <c r="D5" s="13" t="s">
        <v>62</v>
      </c>
      <c r="E5" s="13" t="s">
        <v>64</v>
      </c>
      <c r="F5" s="13" t="s">
        <v>65</v>
      </c>
    </row>
    <row r="6" spans="1:8" x14ac:dyDescent="0.3">
      <c r="A6" s="16">
        <f>COUNTIF(F9:F52, "Passed")</f>
        <v>37</v>
      </c>
      <c r="B6" s="17">
        <f>COUNTIF(F9:F52, "Failed")</f>
        <v>5</v>
      </c>
      <c r="C6" s="18">
        <f>COUNTBLANK(F9:F52) + COUNTIF(F9:F52, "Untested")</f>
        <v>0</v>
      </c>
      <c r="D6" s="19">
        <f>COUNTIF(F9:F52, "Blocked")</f>
        <v>2</v>
      </c>
      <c r="E6" s="20">
        <f>COUNTIF(F9:F52, "Skipped")</f>
        <v>0</v>
      </c>
      <c r="F6" s="20">
        <f>COUNTA(A9:A52)</f>
        <v>44</v>
      </c>
    </row>
    <row r="8" spans="1:8" x14ac:dyDescent="0.3">
      <c r="A8" s="6" t="s">
        <v>101</v>
      </c>
      <c r="B8" s="6" t="s">
        <v>102</v>
      </c>
      <c r="C8" s="6" t="s">
        <v>104</v>
      </c>
      <c r="D8" s="6" t="s">
        <v>105</v>
      </c>
      <c r="E8" s="6" t="s">
        <v>106</v>
      </c>
      <c r="F8" s="6" t="s">
        <v>107</v>
      </c>
      <c r="G8" s="6" t="s">
        <v>109</v>
      </c>
      <c r="H8" s="6" t="s">
        <v>46</v>
      </c>
    </row>
    <row r="9" spans="1:8" ht="82.8" x14ac:dyDescent="0.3">
      <c r="A9" s="8" t="s">
        <v>111</v>
      </c>
      <c r="B9" s="9" t="s">
        <v>113</v>
      </c>
      <c r="C9" s="9" t="s">
        <v>115</v>
      </c>
      <c r="D9" s="9" t="s">
        <v>116</v>
      </c>
      <c r="E9" s="8" t="s">
        <v>118</v>
      </c>
      <c r="F9" s="8" t="s">
        <v>57</v>
      </c>
      <c r="G9" s="27">
        <v>46323</v>
      </c>
      <c r="H9" s="9"/>
    </row>
    <row r="10" spans="1:8" ht="41.4" x14ac:dyDescent="0.3">
      <c r="A10" s="8" t="s">
        <v>120</v>
      </c>
      <c r="B10" s="9" t="s">
        <v>63</v>
      </c>
      <c r="C10" s="9" t="s">
        <v>122</v>
      </c>
      <c r="D10" s="9" t="s">
        <v>123</v>
      </c>
      <c r="E10" s="8" t="s">
        <v>111</v>
      </c>
      <c r="F10" s="8" t="s">
        <v>57</v>
      </c>
      <c r="G10" s="27">
        <v>46324</v>
      </c>
      <c r="H10" s="9"/>
    </row>
    <row r="11" spans="1:8" ht="41.4" x14ac:dyDescent="0.3">
      <c r="A11" s="8" t="s">
        <v>125</v>
      </c>
      <c r="B11" s="9" t="s">
        <v>127</v>
      </c>
      <c r="C11" s="9" t="s">
        <v>128</v>
      </c>
      <c r="D11" s="9" t="s">
        <v>130</v>
      </c>
      <c r="E11" s="8" t="s">
        <v>111</v>
      </c>
      <c r="F11" s="8" t="s">
        <v>57</v>
      </c>
      <c r="G11" s="27">
        <v>46325</v>
      </c>
      <c r="H11" s="9"/>
    </row>
    <row r="12" spans="1:8" ht="55.2" x14ac:dyDescent="0.3">
      <c r="A12" s="8" t="s">
        <v>133</v>
      </c>
      <c r="B12" s="9" t="s">
        <v>135</v>
      </c>
      <c r="C12" s="9" t="s">
        <v>136</v>
      </c>
      <c r="D12" s="9" t="s">
        <v>137</v>
      </c>
      <c r="E12" s="8" t="s">
        <v>111</v>
      </c>
      <c r="F12" s="8" t="s">
        <v>60</v>
      </c>
      <c r="G12" s="27">
        <v>46326</v>
      </c>
      <c r="H12" s="9"/>
    </row>
    <row r="13" spans="1:8" ht="69" x14ac:dyDescent="0.3">
      <c r="A13" s="8" t="s">
        <v>139</v>
      </c>
      <c r="B13" s="9" t="s">
        <v>141</v>
      </c>
      <c r="C13" s="9" t="s">
        <v>142</v>
      </c>
      <c r="D13" s="9" t="s">
        <v>143</v>
      </c>
      <c r="E13" s="8" t="s">
        <v>111</v>
      </c>
      <c r="F13" s="8" t="s">
        <v>60</v>
      </c>
      <c r="G13" s="27">
        <v>46327</v>
      </c>
      <c r="H13" s="9" t="s">
        <v>462</v>
      </c>
    </row>
    <row r="14" spans="1:8" ht="55.2" x14ac:dyDescent="0.3">
      <c r="A14" s="8" t="s">
        <v>145</v>
      </c>
      <c r="B14" s="9" t="s">
        <v>146</v>
      </c>
      <c r="C14" s="9" t="s">
        <v>148</v>
      </c>
      <c r="D14" s="9" t="s">
        <v>149</v>
      </c>
      <c r="E14" s="8" t="s">
        <v>111</v>
      </c>
      <c r="F14" s="8" t="s">
        <v>57</v>
      </c>
      <c r="G14" s="27">
        <v>46328</v>
      </c>
      <c r="H14" s="9"/>
    </row>
    <row r="15" spans="1:8" ht="55.2" x14ac:dyDescent="0.3">
      <c r="A15" s="8" t="s">
        <v>151</v>
      </c>
      <c r="B15" s="9" t="s">
        <v>152</v>
      </c>
      <c r="C15" s="9" t="s">
        <v>153</v>
      </c>
      <c r="D15" s="9" t="s">
        <v>155</v>
      </c>
      <c r="E15" s="8" t="s">
        <v>111</v>
      </c>
      <c r="F15" s="8" t="s">
        <v>57</v>
      </c>
      <c r="G15" s="27">
        <v>46329</v>
      </c>
      <c r="H15" s="9"/>
    </row>
    <row r="16" spans="1:8" ht="41.4" x14ac:dyDescent="0.3">
      <c r="A16" s="8" t="s">
        <v>156</v>
      </c>
      <c r="B16" s="9" t="s">
        <v>158</v>
      </c>
      <c r="C16" s="9" t="s">
        <v>159</v>
      </c>
      <c r="D16" s="9" t="s">
        <v>160</v>
      </c>
      <c r="E16" s="8" t="s">
        <v>111</v>
      </c>
      <c r="F16" s="8" t="s">
        <v>57</v>
      </c>
      <c r="G16" s="27">
        <v>46330</v>
      </c>
      <c r="H16" s="9"/>
    </row>
    <row r="17" spans="1:8" ht="41.4" x14ac:dyDescent="0.3">
      <c r="A17" s="8" t="s">
        <v>162</v>
      </c>
      <c r="B17" s="9" t="s">
        <v>163</v>
      </c>
      <c r="C17" s="9" t="s">
        <v>164</v>
      </c>
      <c r="D17" s="9" t="s">
        <v>165</v>
      </c>
      <c r="E17" s="8" t="s">
        <v>111</v>
      </c>
      <c r="F17" s="8" t="s">
        <v>57</v>
      </c>
      <c r="G17" s="27">
        <v>46331</v>
      </c>
      <c r="H17" s="9"/>
    </row>
    <row r="18" spans="1:8" ht="41.4" x14ac:dyDescent="0.3">
      <c r="A18" s="8" t="s">
        <v>166</v>
      </c>
      <c r="B18" s="9" t="s">
        <v>167</v>
      </c>
      <c r="C18" s="9" t="s">
        <v>168</v>
      </c>
      <c r="D18" s="9" t="s">
        <v>170</v>
      </c>
      <c r="E18" s="8" t="s">
        <v>111</v>
      </c>
      <c r="F18" s="8" t="s">
        <v>57</v>
      </c>
      <c r="G18" s="27">
        <v>46332</v>
      </c>
      <c r="H18" s="9"/>
    </row>
    <row r="19" spans="1:8" ht="41.4" x14ac:dyDescent="0.3">
      <c r="A19" s="8" t="s">
        <v>172</v>
      </c>
      <c r="B19" s="9" t="s">
        <v>174</v>
      </c>
      <c r="C19" s="9" t="s">
        <v>175</v>
      </c>
      <c r="D19" s="9" t="s">
        <v>177</v>
      </c>
      <c r="E19" s="8" t="s">
        <v>111</v>
      </c>
      <c r="F19" s="8" t="s">
        <v>57</v>
      </c>
      <c r="G19" s="27">
        <v>46333</v>
      </c>
      <c r="H19" s="9"/>
    </row>
    <row r="20" spans="1:8" ht="41.4" x14ac:dyDescent="0.3">
      <c r="A20" s="8" t="s">
        <v>178</v>
      </c>
      <c r="B20" s="9" t="s">
        <v>179</v>
      </c>
      <c r="C20" s="9" t="s">
        <v>180</v>
      </c>
      <c r="D20" s="9" t="s">
        <v>182</v>
      </c>
      <c r="E20" s="8" t="s">
        <v>111</v>
      </c>
      <c r="F20" s="8" t="s">
        <v>57</v>
      </c>
      <c r="G20" s="27">
        <v>46334</v>
      </c>
      <c r="H20" s="9"/>
    </row>
    <row r="21" spans="1:8" ht="41.4" x14ac:dyDescent="0.3">
      <c r="A21" s="8" t="s">
        <v>184</v>
      </c>
      <c r="B21" s="9" t="s">
        <v>185</v>
      </c>
      <c r="C21" s="9" t="s">
        <v>186</v>
      </c>
      <c r="D21" s="9" t="s">
        <v>187</v>
      </c>
      <c r="E21" s="8" t="s">
        <v>111</v>
      </c>
      <c r="F21" s="8" t="s">
        <v>57</v>
      </c>
      <c r="G21" s="27">
        <v>46335</v>
      </c>
      <c r="H21" s="9"/>
    </row>
    <row r="22" spans="1:8" ht="41.4" x14ac:dyDescent="0.3">
      <c r="A22" s="8" t="s">
        <v>190</v>
      </c>
      <c r="B22" s="9" t="s">
        <v>192</v>
      </c>
      <c r="C22" s="9" t="s">
        <v>193</v>
      </c>
      <c r="D22" s="9" t="s">
        <v>194</v>
      </c>
      <c r="E22" s="8" t="s">
        <v>111</v>
      </c>
      <c r="F22" s="8" t="s">
        <v>57</v>
      </c>
      <c r="G22" s="27">
        <v>46336</v>
      </c>
      <c r="H22" s="9"/>
    </row>
    <row r="23" spans="1:8" ht="41.4" x14ac:dyDescent="0.3">
      <c r="A23" s="8" t="s">
        <v>196</v>
      </c>
      <c r="B23" s="9" t="s">
        <v>197</v>
      </c>
      <c r="C23" s="9" t="s">
        <v>198</v>
      </c>
      <c r="D23" s="9" t="s">
        <v>200</v>
      </c>
      <c r="E23" s="8" t="s">
        <v>111</v>
      </c>
      <c r="F23" s="8" t="s">
        <v>57</v>
      </c>
      <c r="G23" s="27">
        <v>46337</v>
      </c>
      <c r="H23" s="9"/>
    </row>
    <row r="24" spans="1:8" ht="41.4" x14ac:dyDescent="0.3">
      <c r="A24" s="8" t="s">
        <v>208</v>
      </c>
      <c r="B24" s="9" t="s">
        <v>209</v>
      </c>
      <c r="C24" s="9" t="s">
        <v>211</v>
      </c>
      <c r="D24" s="9" t="s">
        <v>212</v>
      </c>
      <c r="E24" s="8" t="s">
        <v>111</v>
      </c>
      <c r="F24" s="8" t="s">
        <v>57</v>
      </c>
      <c r="G24" s="27">
        <v>46338</v>
      </c>
      <c r="H24" s="9"/>
    </row>
    <row r="25" spans="1:8" ht="41.4" x14ac:dyDescent="0.3">
      <c r="A25" s="8" t="s">
        <v>213</v>
      </c>
      <c r="B25" s="9" t="s">
        <v>214</v>
      </c>
      <c r="C25" s="9" t="s">
        <v>216</v>
      </c>
      <c r="D25" s="9" t="s">
        <v>217</v>
      </c>
      <c r="E25" s="8" t="s">
        <v>111</v>
      </c>
      <c r="F25" s="8" t="s">
        <v>57</v>
      </c>
      <c r="G25" s="27">
        <v>46339</v>
      </c>
      <c r="H25" s="9"/>
    </row>
    <row r="26" spans="1:8" ht="41.4" x14ac:dyDescent="0.3">
      <c r="A26" s="8" t="s">
        <v>219</v>
      </c>
      <c r="B26" s="9" t="s">
        <v>220</v>
      </c>
      <c r="C26" s="9" t="s">
        <v>221</v>
      </c>
      <c r="D26" s="9" t="s">
        <v>223</v>
      </c>
      <c r="E26" s="8" t="s">
        <v>111</v>
      </c>
      <c r="F26" s="8" t="s">
        <v>57</v>
      </c>
      <c r="G26" s="27">
        <v>46340</v>
      </c>
      <c r="H26" s="9"/>
    </row>
    <row r="27" spans="1:8" ht="41.4" x14ac:dyDescent="0.3">
      <c r="A27" s="8" t="s">
        <v>224</v>
      </c>
      <c r="B27" s="9" t="s">
        <v>226</v>
      </c>
      <c r="C27" s="9" t="s">
        <v>227</v>
      </c>
      <c r="D27" s="9" t="s">
        <v>228</v>
      </c>
      <c r="E27" s="8" t="s">
        <v>111</v>
      </c>
      <c r="F27" s="8" t="s">
        <v>57</v>
      </c>
      <c r="G27" s="27">
        <v>46341</v>
      </c>
      <c r="H27" s="9"/>
    </row>
    <row r="28" spans="1:8" ht="41.4" x14ac:dyDescent="0.3">
      <c r="A28" s="8" t="s">
        <v>230</v>
      </c>
      <c r="B28" s="9" t="s">
        <v>232</v>
      </c>
      <c r="C28" s="9" t="s">
        <v>234</v>
      </c>
      <c r="D28" s="9" t="s">
        <v>235</v>
      </c>
      <c r="E28" s="8" t="s">
        <v>111</v>
      </c>
      <c r="F28" s="8" t="s">
        <v>57</v>
      </c>
      <c r="G28" s="27">
        <v>46342</v>
      </c>
      <c r="H28" s="9"/>
    </row>
    <row r="29" spans="1:8" ht="110.4" x14ac:dyDescent="0.3">
      <c r="A29" s="8" t="s">
        <v>236</v>
      </c>
      <c r="B29" s="9" t="s">
        <v>88</v>
      </c>
      <c r="C29" s="9" t="s">
        <v>238</v>
      </c>
      <c r="D29" s="9" t="s">
        <v>240</v>
      </c>
      <c r="E29" s="8" t="s">
        <v>111</v>
      </c>
      <c r="F29" s="8" t="s">
        <v>57</v>
      </c>
      <c r="G29" s="27">
        <v>46343</v>
      </c>
      <c r="H29" s="9"/>
    </row>
    <row r="30" spans="1:8" ht="69" x14ac:dyDescent="0.3">
      <c r="A30" s="8" t="s">
        <v>241</v>
      </c>
      <c r="B30" s="9" t="s">
        <v>242</v>
      </c>
      <c r="C30" s="9" t="s">
        <v>244</v>
      </c>
      <c r="D30" s="9" t="s">
        <v>245</v>
      </c>
      <c r="E30" s="8" t="s">
        <v>111</v>
      </c>
      <c r="F30" s="8" t="s">
        <v>60</v>
      </c>
      <c r="G30" s="27">
        <v>46344</v>
      </c>
      <c r="H30" s="9" t="s">
        <v>462</v>
      </c>
    </row>
    <row r="31" spans="1:8" ht="41.4" x14ac:dyDescent="0.3">
      <c r="A31" s="8" t="s">
        <v>247</v>
      </c>
      <c r="B31" s="9" t="s">
        <v>90</v>
      </c>
      <c r="C31" s="9" t="s">
        <v>249</v>
      </c>
      <c r="D31" s="9" t="s">
        <v>250</v>
      </c>
      <c r="E31" s="8" t="s">
        <v>111</v>
      </c>
      <c r="F31" s="8" t="s">
        <v>57</v>
      </c>
      <c r="G31" s="27">
        <v>46345</v>
      </c>
      <c r="H31" s="9"/>
    </row>
    <row r="32" spans="1:8" ht="41.4" x14ac:dyDescent="0.3">
      <c r="A32" s="8" t="s">
        <v>252</v>
      </c>
      <c r="B32" s="9" t="s">
        <v>91</v>
      </c>
      <c r="C32" s="9" t="s">
        <v>254</v>
      </c>
      <c r="D32" s="9" t="s">
        <v>255</v>
      </c>
      <c r="E32" s="8" t="s">
        <v>111</v>
      </c>
      <c r="F32" s="8" t="s">
        <v>57</v>
      </c>
      <c r="G32" s="27">
        <v>46346</v>
      </c>
      <c r="H32" s="9"/>
    </row>
    <row r="33" spans="1:8" ht="82.8" x14ac:dyDescent="0.3">
      <c r="A33" s="8" t="s">
        <v>256</v>
      </c>
      <c r="B33" s="9" t="s">
        <v>93</v>
      </c>
      <c r="C33" s="9" t="s">
        <v>258</v>
      </c>
      <c r="D33" s="9" t="s">
        <v>259</v>
      </c>
      <c r="E33" s="8" t="s">
        <v>111</v>
      </c>
      <c r="F33" s="8" t="s">
        <v>62</v>
      </c>
      <c r="G33" s="27">
        <v>46347</v>
      </c>
      <c r="H33" s="9" t="s">
        <v>470</v>
      </c>
    </row>
    <row r="34" spans="1:8" ht="110.4" x14ac:dyDescent="0.3">
      <c r="A34" s="8" t="s">
        <v>261</v>
      </c>
      <c r="B34" s="9" t="s">
        <v>94</v>
      </c>
      <c r="C34" s="9" t="s">
        <v>263</v>
      </c>
      <c r="D34" s="9" t="s">
        <v>264</v>
      </c>
      <c r="E34" s="8" t="s">
        <v>256</v>
      </c>
      <c r="F34" s="8" t="s">
        <v>62</v>
      </c>
      <c r="G34" s="27">
        <v>46348</v>
      </c>
      <c r="H34" s="9" t="s">
        <v>471</v>
      </c>
    </row>
    <row r="35" spans="1:8" ht="41.4" x14ac:dyDescent="0.3">
      <c r="A35" s="8" t="s">
        <v>266</v>
      </c>
      <c r="B35" s="9" t="s">
        <v>95</v>
      </c>
      <c r="C35" s="9" t="s">
        <v>268</v>
      </c>
      <c r="D35" s="9" t="s">
        <v>269</v>
      </c>
      <c r="E35" s="8" t="s">
        <v>111</v>
      </c>
      <c r="F35" s="8" t="s">
        <v>57</v>
      </c>
      <c r="G35" s="27">
        <v>46349</v>
      </c>
      <c r="H35" s="9"/>
    </row>
    <row r="36" spans="1:8" ht="27.6" x14ac:dyDescent="0.3">
      <c r="A36" s="8" t="s">
        <v>270</v>
      </c>
      <c r="B36" s="9" t="s">
        <v>97</v>
      </c>
      <c r="C36" s="9" t="s">
        <v>271</v>
      </c>
      <c r="D36" s="9" t="s">
        <v>272</v>
      </c>
      <c r="E36" s="8" t="s">
        <v>111</v>
      </c>
      <c r="F36" s="8" t="s">
        <v>57</v>
      </c>
      <c r="G36" s="27">
        <v>46350</v>
      </c>
      <c r="H36" s="9"/>
    </row>
    <row r="37" spans="1:8" ht="27.6" x14ac:dyDescent="0.3">
      <c r="A37" s="8" t="s">
        <v>275</v>
      </c>
      <c r="B37" s="9" t="s">
        <v>98</v>
      </c>
      <c r="C37" s="9" t="s">
        <v>277</v>
      </c>
      <c r="D37" s="9" t="s">
        <v>279</v>
      </c>
      <c r="E37" s="8" t="s">
        <v>270</v>
      </c>
      <c r="F37" s="8" t="s">
        <v>57</v>
      </c>
      <c r="G37" s="27">
        <v>46351</v>
      </c>
      <c r="H37" s="9"/>
    </row>
    <row r="38" spans="1:8" ht="96.6" x14ac:dyDescent="0.3">
      <c r="A38" s="8" t="s">
        <v>283</v>
      </c>
      <c r="B38" s="9" t="s">
        <v>100</v>
      </c>
      <c r="C38" s="9" t="s">
        <v>285</v>
      </c>
      <c r="D38" s="9" t="s">
        <v>286</v>
      </c>
      <c r="E38" s="8" t="s">
        <v>270</v>
      </c>
      <c r="F38" s="8" t="s">
        <v>60</v>
      </c>
      <c r="G38" s="27">
        <v>46352</v>
      </c>
      <c r="H38" s="9" t="s">
        <v>463</v>
      </c>
    </row>
    <row r="39" spans="1:8" ht="110.4" x14ac:dyDescent="0.3">
      <c r="A39" s="8" t="s">
        <v>289</v>
      </c>
      <c r="B39" s="9" t="s">
        <v>103</v>
      </c>
      <c r="C39" s="9" t="s">
        <v>292</v>
      </c>
      <c r="D39" s="9" t="s">
        <v>294</v>
      </c>
      <c r="E39" s="8" t="s">
        <v>270</v>
      </c>
      <c r="F39" s="8" t="s">
        <v>60</v>
      </c>
      <c r="G39" s="27">
        <v>46353</v>
      </c>
      <c r="H39" s="9" t="s">
        <v>464</v>
      </c>
    </row>
    <row r="40" spans="1:8" ht="55.2" x14ac:dyDescent="0.3">
      <c r="A40" s="8" t="s">
        <v>297</v>
      </c>
      <c r="B40" s="9" t="s">
        <v>108</v>
      </c>
      <c r="C40" s="9" t="s">
        <v>300</v>
      </c>
      <c r="D40" s="9" t="s">
        <v>302</v>
      </c>
      <c r="E40" s="8" t="s">
        <v>270</v>
      </c>
      <c r="F40" s="8" t="s">
        <v>57</v>
      </c>
      <c r="G40" s="27">
        <v>46354</v>
      </c>
      <c r="H40" s="9"/>
    </row>
    <row r="41" spans="1:8" ht="69" x14ac:dyDescent="0.3">
      <c r="A41" s="8" t="s">
        <v>303</v>
      </c>
      <c r="B41" s="9" t="s">
        <v>112</v>
      </c>
      <c r="C41" s="9" t="s">
        <v>306</v>
      </c>
      <c r="D41" s="9" t="s">
        <v>308</v>
      </c>
      <c r="E41" s="8" t="s">
        <v>270</v>
      </c>
      <c r="F41" s="8" t="s">
        <v>57</v>
      </c>
      <c r="G41" s="27">
        <v>46355</v>
      </c>
      <c r="H41" s="9"/>
    </row>
    <row r="42" spans="1:8" ht="69" x14ac:dyDescent="0.3">
      <c r="A42" s="8" t="s">
        <v>312</v>
      </c>
      <c r="B42" s="9" t="s">
        <v>114</v>
      </c>
      <c r="C42" s="9" t="s">
        <v>315</v>
      </c>
      <c r="D42" s="9" t="s">
        <v>316</v>
      </c>
      <c r="E42" s="8" t="s">
        <v>303</v>
      </c>
      <c r="F42" s="8" t="s">
        <v>57</v>
      </c>
      <c r="G42" s="27">
        <v>46356</v>
      </c>
      <c r="H42" s="9"/>
    </row>
    <row r="43" spans="1:8" ht="55.2" x14ac:dyDescent="0.3">
      <c r="A43" s="8" t="s">
        <v>321</v>
      </c>
      <c r="B43" s="9" t="s">
        <v>117</v>
      </c>
      <c r="C43" s="9" t="s">
        <v>324</v>
      </c>
      <c r="D43" s="9" t="s">
        <v>327</v>
      </c>
      <c r="E43" s="8" t="s">
        <v>270</v>
      </c>
      <c r="F43" s="8" t="s">
        <v>57</v>
      </c>
      <c r="G43" s="27">
        <v>46357</v>
      </c>
      <c r="H43" s="9"/>
    </row>
    <row r="44" spans="1:8" ht="69" x14ac:dyDescent="0.3">
      <c r="A44" s="8" t="s">
        <v>329</v>
      </c>
      <c r="B44" s="9" t="s">
        <v>121</v>
      </c>
      <c r="C44" s="9" t="s">
        <v>332</v>
      </c>
      <c r="D44" s="9" t="s">
        <v>334</v>
      </c>
      <c r="E44" s="8" t="s">
        <v>270</v>
      </c>
      <c r="F44" s="8" t="s">
        <v>57</v>
      </c>
      <c r="G44" s="27">
        <v>46358</v>
      </c>
      <c r="H44" s="9"/>
    </row>
    <row r="45" spans="1:8" ht="69" x14ac:dyDescent="0.3">
      <c r="A45" s="8" t="s">
        <v>337</v>
      </c>
      <c r="B45" s="9" t="s">
        <v>124</v>
      </c>
      <c r="C45" s="9" t="s">
        <v>341</v>
      </c>
      <c r="D45" s="9" t="s">
        <v>344</v>
      </c>
      <c r="E45" s="8" t="s">
        <v>270</v>
      </c>
      <c r="F45" s="8" t="s">
        <v>57</v>
      </c>
      <c r="G45" s="27">
        <v>46359</v>
      </c>
      <c r="H45" s="9"/>
    </row>
    <row r="46" spans="1:8" ht="55.2" x14ac:dyDescent="0.3">
      <c r="A46" s="8" t="s">
        <v>347</v>
      </c>
      <c r="B46" s="9" t="s">
        <v>126</v>
      </c>
      <c r="C46" s="9" t="s">
        <v>350</v>
      </c>
      <c r="D46" s="9" t="s">
        <v>352</v>
      </c>
      <c r="E46" s="8" t="s">
        <v>329</v>
      </c>
      <c r="F46" s="8" t="s">
        <v>57</v>
      </c>
      <c r="G46" s="27">
        <v>46360</v>
      </c>
      <c r="H46" s="9"/>
    </row>
    <row r="47" spans="1:8" ht="55.2" x14ac:dyDescent="0.3">
      <c r="A47" s="8" t="s">
        <v>356</v>
      </c>
      <c r="B47" s="9" t="s">
        <v>131</v>
      </c>
      <c r="C47" s="9" t="s">
        <v>360</v>
      </c>
      <c r="D47" s="9" t="s">
        <v>362</v>
      </c>
      <c r="E47" s="8" t="s">
        <v>111</v>
      </c>
      <c r="F47" s="8" t="s">
        <v>57</v>
      </c>
      <c r="G47" s="27">
        <v>46361</v>
      </c>
      <c r="H47" s="9"/>
    </row>
    <row r="48" spans="1:8" ht="41.4" x14ac:dyDescent="0.3">
      <c r="A48" s="8" t="s">
        <v>366</v>
      </c>
      <c r="B48" s="9" t="s">
        <v>132</v>
      </c>
      <c r="C48" s="9" t="s">
        <v>369</v>
      </c>
      <c r="D48" s="9" t="s">
        <v>372</v>
      </c>
      <c r="E48" s="8" t="s">
        <v>111</v>
      </c>
      <c r="F48" s="8" t="s">
        <v>57</v>
      </c>
      <c r="G48" s="27">
        <v>46362</v>
      </c>
      <c r="H48" s="9"/>
    </row>
    <row r="49" spans="1:8" ht="41.4" x14ac:dyDescent="0.3">
      <c r="A49" s="8" t="s">
        <v>376</v>
      </c>
      <c r="B49" s="9" t="s">
        <v>134</v>
      </c>
      <c r="C49" s="9" t="s">
        <v>378</v>
      </c>
      <c r="D49" s="9" t="s">
        <v>380</v>
      </c>
      <c r="E49" s="8" t="s">
        <v>111</v>
      </c>
      <c r="F49" s="8" t="s">
        <v>57</v>
      </c>
      <c r="G49" s="27">
        <v>46363</v>
      </c>
      <c r="H49" s="9"/>
    </row>
    <row r="50" spans="1:8" ht="27.6" x14ac:dyDescent="0.3">
      <c r="A50" s="8" t="s">
        <v>382</v>
      </c>
      <c r="B50" s="9" t="s">
        <v>138</v>
      </c>
      <c r="C50" s="9" t="s">
        <v>383</v>
      </c>
      <c r="D50" s="9" t="s">
        <v>380</v>
      </c>
      <c r="E50" s="8" t="s">
        <v>111</v>
      </c>
      <c r="F50" s="8" t="s">
        <v>57</v>
      </c>
      <c r="G50" s="27">
        <v>46364</v>
      </c>
      <c r="H50" s="9"/>
    </row>
    <row r="51" spans="1:8" ht="124.2" x14ac:dyDescent="0.3">
      <c r="A51" s="8" t="s">
        <v>386</v>
      </c>
      <c r="B51" s="9" t="s">
        <v>144</v>
      </c>
      <c r="C51" s="9" t="s">
        <v>389</v>
      </c>
      <c r="D51" s="9" t="s">
        <v>390</v>
      </c>
      <c r="E51" s="8" t="s">
        <v>270</v>
      </c>
      <c r="F51" s="8" t="s">
        <v>57</v>
      </c>
      <c r="G51" s="27">
        <v>46365</v>
      </c>
      <c r="H51" s="9" t="s">
        <v>465</v>
      </c>
    </row>
    <row r="52" spans="1:8" ht="165.6" x14ac:dyDescent="0.3">
      <c r="A52" s="8" t="s">
        <v>393</v>
      </c>
      <c r="B52" s="9" t="s">
        <v>147</v>
      </c>
      <c r="C52" s="9" t="s">
        <v>396</v>
      </c>
      <c r="D52" s="9" t="s">
        <v>398</v>
      </c>
      <c r="E52" s="8" t="s">
        <v>270</v>
      </c>
      <c r="F52" s="8" t="s">
        <v>57</v>
      </c>
      <c r="G52" s="27">
        <v>46366</v>
      </c>
      <c r="H52" s="9" t="s">
        <v>466</v>
      </c>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28"/>
  <sheetViews>
    <sheetView topLeftCell="A12" workbookViewId="0">
      <selection activeCell="H25" sqref="H25"/>
    </sheetView>
  </sheetViews>
  <sheetFormatPr defaultColWidth="14.44140625" defaultRowHeight="14.4" x14ac:dyDescent="0.3"/>
  <cols>
    <col min="1" max="1" width="22" customWidth="1"/>
    <col min="2" max="2" width="38" customWidth="1"/>
    <col min="3" max="4" width="45" customWidth="1"/>
    <col min="5" max="5" width="28" customWidth="1"/>
    <col min="6" max="6" width="12" customWidth="1"/>
    <col min="7" max="7" width="14" customWidth="1"/>
    <col min="8" max="8" width="35" customWidth="1"/>
    <col min="9" max="26" width="8.6640625" customWidth="1"/>
  </cols>
  <sheetData>
    <row r="2" spans="1:8" x14ac:dyDescent="0.3">
      <c r="A2" s="1" t="s">
        <v>43</v>
      </c>
      <c r="B2" s="2" t="s">
        <v>171</v>
      </c>
    </row>
    <row r="3" spans="1:8" x14ac:dyDescent="0.3">
      <c r="A3" s="1" t="s">
        <v>52</v>
      </c>
      <c r="B3" s="2" t="s">
        <v>176</v>
      </c>
    </row>
    <row r="4" spans="1:8" x14ac:dyDescent="0.3">
      <c r="A4" s="1" t="s">
        <v>54</v>
      </c>
      <c r="B4" s="2" t="s">
        <v>4</v>
      </c>
    </row>
    <row r="5" spans="1:8" ht="27.6" x14ac:dyDescent="0.3">
      <c r="A5" s="13" t="s">
        <v>57</v>
      </c>
      <c r="B5" s="13" t="s">
        <v>60</v>
      </c>
      <c r="C5" s="13" t="s">
        <v>61</v>
      </c>
      <c r="D5" s="13" t="s">
        <v>62</v>
      </c>
      <c r="E5" s="13" t="s">
        <v>64</v>
      </c>
      <c r="F5" s="13" t="s">
        <v>65</v>
      </c>
    </row>
    <row r="6" spans="1:8" x14ac:dyDescent="0.3">
      <c r="A6" s="16">
        <f>COUNTIF(F9:F28, "Passed")</f>
        <v>18</v>
      </c>
      <c r="B6" s="17">
        <f>COUNTIF(F9:F28, "Failed")</f>
        <v>2</v>
      </c>
      <c r="C6" s="18">
        <f>COUNTBLANK(F9:F28) + COUNTIF(F9:F28, "Untested")</f>
        <v>0</v>
      </c>
      <c r="D6" s="19">
        <f>COUNTIF(F9:F28, "Blocked")</f>
        <v>0</v>
      </c>
      <c r="E6" s="20">
        <f>COUNTIF(F9:F28, "Skipped")</f>
        <v>0</v>
      </c>
      <c r="F6" s="20">
        <f>COUNTA(A9:A28)</f>
        <v>20</v>
      </c>
    </row>
    <row r="8" spans="1:8" x14ac:dyDescent="0.3">
      <c r="A8" s="6" t="s">
        <v>101</v>
      </c>
      <c r="B8" s="6" t="s">
        <v>102</v>
      </c>
      <c r="C8" s="6" t="s">
        <v>104</v>
      </c>
      <c r="D8" s="6" t="s">
        <v>105</v>
      </c>
      <c r="E8" s="6" t="s">
        <v>106</v>
      </c>
      <c r="F8" s="6" t="s">
        <v>107</v>
      </c>
      <c r="G8" s="6" t="s">
        <v>109</v>
      </c>
      <c r="H8" s="6" t="s">
        <v>46</v>
      </c>
    </row>
    <row r="9" spans="1:8" ht="82.8" x14ac:dyDescent="0.3">
      <c r="A9" s="8" t="s">
        <v>274</v>
      </c>
      <c r="B9" s="9" t="s">
        <v>278</v>
      </c>
      <c r="C9" s="9" t="s">
        <v>281</v>
      </c>
      <c r="D9" s="9" t="s">
        <v>282</v>
      </c>
      <c r="E9" s="8" t="s">
        <v>118</v>
      </c>
      <c r="F9" s="8" t="s">
        <v>57</v>
      </c>
      <c r="G9" s="27">
        <v>46323</v>
      </c>
      <c r="H9" s="9"/>
    </row>
    <row r="10" spans="1:8" ht="41.4" x14ac:dyDescent="0.3">
      <c r="A10" s="8" t="s">
        <v>288</v>
      </c>
      <c r="B10" s="9" t="s">
        <v>157</v>
      </c>
      <c r="C10" s="9" t="s">
        <v>291</v>
      </c>
      <c r="D10" s="9" t="s">
        <v>293</v>
      </c>
      <c r="E10" s="8" t="s">
        <v>274</v>
      </c>
      <c r="F10" s="8" t="s">
        <v>57</v>
      </c>
      <c r="G10" s="27">
        <v>46323</v>
      </c>
      <c r="H10" s="9"/>
    </row>
    <row r="11" spans="1:8" ht="41.4" x14ac:dyDescent="0.3">
      <c r="A11" s="8" t="s">
        <v>296</v>
      </c>
      <c r="B11" s="9" t="s">
        <v>169</v>
      </c>
      <c r="C11" s="9" t="s">
        <v>298</v>
      </c>
      <c r="D11" s="9" t="s">
        <v>301</v>
      </c>
      <c r="E11" s="8" t="s">
        <v>274</v>
      </c>
      <c r="F11" s="8" t="s">
        <v>57</v>
      </c>
      <c r="G11" s="27">
        <v>46323</v>
      </c>
      <c r="H11" s="9"/>
    </row>
    <row r="12" spans="1:8" ht="96.6" x14ac:dyDescent="0.3">
      <c r="A12" s="8" t="s">
        <v>304</v>
      </c>
      <c r="B12" s="9" t="s">
        <v>173</v>
      </c>
      <c r="C12" s="9" t="s">
        <v>307</v>
      </c>
      <c r="D12" s="9" t="s">
        <v>309</v>
      </c>
      <c r="E12" s="8" t="s">
        <v>274</v>
      </c>
      <c r="F12" s="8" t="s">
        <v>57</v>
      </c>
      <c r="G12" s="27">
        <v>46323</v>
      </c>
      <c r="H12" s="9"/>
    </row>
    <row r="13" spans="1:8" ht="55.2" x14ac:dyDescent="0.3">
      <c r="A13" s="8" t="s">
        <v>313</v>
      </c>
      <c r="B13" s="9" t="s">
        <v>467</v>
      </c>
      <c r="C13" s="9" t="s">
        <v>469</v>
      </c>
      <c r="D13" s="9" t="s">
        <v>317</v>
      </c>
      <c r="E13" s="8" t="s">
        <v>274</v>
      </c>
      <c r="F13" s="8" t="s">
        <v>57</v>
      </c>
      <c r="G13" s="27">
        <v>46323</v>
      </c>
      <c r="H13" s="9"/>
    </row>
    <row r="14" spans="1:8" ht="55.2" x14ac:dyDescent="0.3">
      <c r="A14" s="8" t="s">
        <v>320</v>
      </c>
      <c r="B14" s="9" t="s">
        <v>181</v>
      </c>
      <c r="C14" s="9" t="s">
        <v>136</v>
      </c>
      <c r="D14" s="9" t="s">
        <v>326</v>
      </c>
      <c r="E14" s="8" t="s">
        <v>274</v>
      </c>
      <c r="F14" s="8" t="s">
        <v>57</v>
      </c>
      <c r="G14" s="27">
        <v>46323</v>
      </c>
      <c r="H14" s="9"/>
    </row>
    <row r="15" spans="1:8" ht="55.2" x14ac:dyDescent="0.3">
      <c r="A15" s="8" t="s">
        <v>328</v>
      </c>
      <c r="B15" s="9" t="s">
        <v>183</v>
      </c>
      <c r="C15" s="9" t="s">
        <v>142</v>
      </c>
      <c r="D15" s="9" t="s">
        <v>331</v>
      </c>
      <c r="E15" s="8" t="s">
        <v>274</v>
      </c>
      <c r="F15" s="8" t="s">
        <v>60</v>
      </c>
      <c r="G15" s="27">
        <v>46323</v>
      </c>
      <c r="H15" s="9" t="s">
        <v>472</v>
      </c>
    </row>
    <row r="16" spans="1:8" ht="55.2" x14ac:dyDescent="0.3">
      <c r="A16" s="8" t="s">
        <v>335</v>
      </c>
      <c r="B16" s="9" t="s">
        <v>188</v>
      </c>
      <c r="C16" s="9" t="s">
        <v>148</v>
      </c>
      <c r="D16" s="9" t="s">
        <v>339</v>
      </c>
      <c r="E16" s="8" t="s">
        <v>274</v>
      </c>
      <c r="F16" s="8" t="s">
        <v>57</v>
      </c>
      <c r="G16" s="27">
        <v>46323</v>
      </c>
      <c r="H16" s="9"/>
    </row>
    <row r="17" spans="1:8" ht="55.2" x14ac:dyDescent="0.3">
      <c r="A17" s="8" t="s">
        <v>343</v>
      </c>
      <c r="B17" s="9" t="s">
        <v>191</v>
      </c>
      <c r="C17" s="9" t="s">
        <v>153</v>
      </c>
      <c r="D17" s="9" t="s">
        <v>346</v>
      </c>
      <c r="E17" s="8" t="s">
        <v>274</v>
      </c>
      <c r="F17" s="8" t="s">
        <v>57</v>
      </c>
      <c r="G17" s="27">
        <v>46323</v>
      </c>
      <c r="H17" s="9"/>
    </row>
    <row r="18" spans="1:8" ht="55.2" x14ac:dyDescent="0.3">
      <c r="A18" s="8" t="s">
        <v>349</v>
      </c>
      <c r="B18" s="9" t="s">
        <v>201</v>
      </c>
      <c r="C18" s="9" t="s">
        <v>353</v>
      </c>
      <c r="D18" s="9" t="s">
        <v>354</v>
      </c>
      <c r="E18" s="8" t="s">
        <v>274</v>
      </c>
      <c r="F18" s="8" t="s">
        <v>57</v>
      </c>
      <c r="G18" s="27">
        <v>46323</v>
      </c>
      <c r="H18" s="9"/>
    </row>
    <row r="19" spans="1:8" ht="27.6" x14ac:dyDescent="0.3">
      <c r="A19" s="8" t="s">
        <v>357</v>
      </c>
      <c r="B19" s="9" t="s">
        <v>202</v>
      </c>
      <c r="C19" s="9" t="s">
        <v>361</v>
      </c>
      <c r="D19" s="9" t="s">
        <v>363</v>
      </c>
      <c r="E19" s="8" t="s">
        <v>274</v>
      </c>
      <c r="F19" s="8" t="s">
        <v>57</v>
      </c>
      <c r="G19" s="27">
        <v>46323</v>
      </c>
      <c r="H19" s="9"/>
    </row>
    <row r="20" spans="1:8" ht="55.2" x14ac:dyDescent="0.3">
      <c r="A20" s="8" t="s">
        <v>365</v>
      </c>
      <c r="B20" s="9" t="s">
        <v>204</v>
      </c>
      <c r="C20" s="9" t="s">
        <v>370</v>
      </c>
      <c r="D20" s="9" t="s">
        <v>373</v>
      </c>
      <c r="E20" s="8" t="s">
        <v>357</v>
      </c>
      <c r="F20" s="8" t="s">
        <v>57</v>
      </c>
      <c r="G20" s="27">
        <v>46323</v>
      </c>
      <c r="H20" s="9"/>
    </row>
    <row r="21" spans="1:8" ht="41.4" x14ac:dyDescent="0.3">
      <c r="A21" s="8" t="s">
        <v>375</v>
      </c>
      <c r="B21" s="9" t="s">
        <v>205</v>
      </c>
      <c r="C21" s="9" t="s">
        <v>379</v>
      </c>
      <c r="D21" s="9" t="s">
        <v>381</v>
      </c>
      <c r="E21" s="8" t="s">
        <v>357</v>
      </c>
      <c r="F21" s="8" t="s">
        <v>57</v>
      </c>
      <c r="G21" s="27">
        <v>46323</v>
      </c>
      <c r="H21" s="9"/>
    </row>
    <row r="22" spans="1:8" ht="41.4" x14ac:dyDescent="0.3">
      <c r="A22" s="8" t="s">
        <v>384</v>
      </c>
      <c r="B22" s="9" t="s">
        <v>206</v>
      </c>
      <c r="C22" s="9" t="s">
        <v>387</v>
      </c>
      <c r="D22" s="9" t="s">
        <v>388</v>
      </c>
      <c r="E22" s="8" t="s">
        <v>365</v>
      </c>
      <c r="F22" s="8" t="s">
        <v>57</v>
      </c>
      <c r="G22" s="27">
        <v>46323</v>
      </c>
      <c r="H22" s="9"/>
    </row>
    <row r="23" spans="1:8" ht="55.2" x14ac:dyDescent="0.3">
      <c r="A23" s="8" t="s">
        <v>391</v>
      </c>
      <c r="B23" s="9" t="s">
        <v>207</v>
      </c>
      <c r="C23" s="9" t="s">
        <v>392</v>
      </c>
      <c r="D23" s="9" t="s">
        <v>394</v>
      </c>
      <c r="E23" s="8" t="s">
        <v>357</v>
      </c>
      <c r="F23" s="8" t="s">
        <v>57</v>
      </c>
      <c r="G23" s="27">
        <v>46323</v>
      </c>
      <c r="H23" s="9"/>
    </row>
    <row r="24" spans="1:8" ht="69" x14ac:dyDescent="0.3">
      <c r="A24" s="8" t="s">
        <v>397</v>
      </c>
      <c r="B24" s="9" t="s">
        <v>210</v>
      </c>
      <c r="C24" s="9" t="s">
        <v>400</v>
      </c>
      <c r="D24" s="9" t="s">
        <v>401</v>
      </c>
      <c r="E24" s="8" t="s">
        <v>357</v>
      </c>
      <c r="F24" s="8" t="s">
        <v>60</v>
      </c>
      <c r="G24" s="27">
        <v>46323</v>
      </c>
      <c r="H24" s="9" t="s">
        <v>472</v>
      </c>
    </row>
    <row r="25" spans="1:8" ht="55.2" x14ac:dyDescent="0.3">
      <c r="A25" s="8" t="s">
        <v>402</v>
      </c>
      <c r="B25" s="9" t="s">
        <v>215</v>
      </c>
      <c r="C25" s="9" t="s">
        <v>403</v>
      </c>
      <c r="D25" s="9" t="s">
        <v>404</v>
      </c>
      <c r="E25" s="8" t="s">
        <v>357</v>
      </c>
      <c r="F25" s="8" t="s">
        <v>57</v>
      </c>
      <c r="G25" s="27">
        <v>46323</v>
      </c>
      <c r="H25" s="9"/>
    </row>
    <row r="26" spans="1:8" ht="41.4" x14ac:dyDescent="0.3">
      <c r="A26" s="8" t="s">
        <v>405</v>
      </c>
      <c r="B26" s="9" t="s">
        <v>222</v>
      </c>
      <c r="C26" s="9" t="s">
        <v>407</v>
      </c>
      <c r="D26" s="9" t="s">
        <v>408</v>
      </c>
      <c r="E26" s="8" t="s">
        <v>357</v>
      </c>
      <c r="F26" s="8" t="s">
        <v>57</v>
      </c>
      <c r="G26" s="27">
        <v>46323</v>
      </c>
      <c r="H26" s="9"/>
    </row>
    <row r="27" spans="1:8" ht="55.2" x14ac:dyDescent="0.3">
      <c r="A27" s="8" t="s">
        <v>411</v>
      </c>
      <c r="B27" s="9" t="s">
        <v>225</v>
      </c>
      <c r="C27" s="9" t="s">
        <v>413</v>
      </c>
      <c r="D27" s="9" t="s">
        <v>414</v>
      </c>
      <c r="E27" s="8" t="s">
        <v>274</v>
      </c>
      <c r="F27" s="8" t="s">
        <v>57</v>
      </c>
      <c r="G27" s="27">
        <v>46323</v>
      </c>
      <c r="H27" s="9"/>
    </row>
    <row r="28" spans="1:8" ht="55.2" x14ac:dyDescent="0.3">
      <c r="A28" s="8" t="s">
        <v>416</v>
      </c>
      <c r="B28" s="9" t="s">
        <v>229</v>
      </c>
      <c r="C28" s="9" t="s">
        <v>418</v>
      </c>
      <c r="D28" s="9" t="s">
        <v>419</v>
      </c>
      <c r="E28" s="8" t="s">
        <v>357</v>
      </c>
      <c r="F28" s="8" t="s">
        <v>57</v>
      </c>
      <c r="G28" s="27">
        <v>46323</v>
      </c>
      <c r="H28" s="9"/>
    </row>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28"/>
  <sheetViews>
    <sheetView workbookViewId="0">
      <selection activeCell="H21" sqref="H21"/>
    </sheetView>
  </sheetViews>
  <sheetFormatPr defaultColWidth="14.44140625" defaultRowHeight="14.4" x14ac:dyDescent="0.3"/>
  <cols>
    <col min="1" max="1" width="14.88671875" bestFit="1" customWidth="1"/>
    <col min="2" max="2" width="71.44140625" bestFit="1" customWidth="1"/>
    <col min="3" max="3" width="43.21875" bestFit="1" customWidth="1"/>
    <col min="4" max="4" width="76" bestFit="1" customWidth="1"/>
    <col min="5" max="5" width="24.21875" bestFit="1" customWidth="1"/>
    <col min="6" max="6" width="9.44140625" bestFit="1" customWidth="1"/>
    <col min="7" max="7" width="15.44140625" bestFit="1" customWidth="1"/>
    <col min="8" max="8" width="12.44140625" customWidth="1"/>
    <col min="9" max="26" width="8.6640625" customWidth="1"/>
  </cols>
  <sheetData>
    <row r="2" spans="1:8" x14ac:dyDescent="0.3">
      <c r="A2" s="1" t="s">
        <v>43</v>
      </c>
      <c r="B2" s="2" t="s">
        <v>189</v>
      </c>
      <c r="G2" s="21" t="s">
        <v>4</v>
      </c>
    </row>
    <row r="3" spans="1:8" x14ac:dyDescent="0.3">
      <c r="A3" s="1" t="s">
        <v>52</v>
      </c>
      <c r="B3" s="2" t="s">
        <v>199</v>
      </c>
    </row>
    <row r="4" spans="1:8" x14ac:dyDescent="0.3">
      <c r="A4" s="1" t="s">
        <v>54</v>
      </c>
      <c r="B4" s="2" t="s">
        <v>4</v>
      </c>
    </row>
    <row r="5" spans="1:8" ht="27.6" x14ac:dyDescent="0.3">
      <c r="A5" s="13" t="s">
        <v>57</v>
      </c>
      <c r="B5" s="13" t="s">
        <v>60</v>
      </c>
      <c r="C5" s="13" t="s">
        <v>61</v>
      </c>
      <c r="D5" s="13" t="s">
        <v>62</v>
      </c>
      <c r="E5" s="13" t="s">
        <v>64</v>
      </c>
      <c r="F5" s="13" t="s">
        <v>65</v>
      </c>
    </row>
    <row r="6" spans="1:8" x14ac:dyDescent="0.3">
      <c r="A6" s="16">
        <f>COUNTIF(F9:F28, "Passed")</f>
        <v>16</v>
      </c>
      <c r="B6" s="17">
        <f>COUNTIF(F9:F28, "Failed")</f>
        <v>4</v>
      </c>
      <c r="C6" s="18">
        <f>COUNTBLANK(F9:F28) + COUNTIF(F9:F28, "Untested")</f>
        <v>0</v>
      </c>
      <c r="D6" s="19">
        <f>COUNTIF(F9:F28, "Blocked")</f>
        <v>0</v>
      </c>
      <c r="E6" s="20">
        <f>COUNTIF(F9:F28, "Skipped")</f>
        <v>0</v>
      </c>
      <c r="F6" s="20">
        <f>COUNTA(A9:A28)</f>
        <v>20</v>
      </c>
    </row>
    <row r="8" spans="1:8" x14ac:dyDescent="0.3">
      <c r="A8" s="6" t="s">
        <v>101</v>
      </c>
      <c r="B8" s="6" t="s">
        <v>102</v>
      </c>
      <c r="C8" s="6" t="s">
        <v>104</v>
      </c>
      <c r="D8" s="6" t="s">
        <v>105</v>
      </c>
      <c r="E8" s="6" t="s">
        <v>106</v>
      </c>
      <c r="F8" s="6" t="s">
        <v>107</v>
      </c>
      <c r="G8" s="6" t="s">
        <v>109</v>
      </c>
      <c r="H8" s="6" t="s">
        <v>46</v>
      </c>
    </row>
    <row r="9" spans="1:8" ht="69" x14ac:dyDescent="0.3">
      <c r="A9" s="8" t="s">
        <v>310</v>
      </c>
      <c r="B9" s="9" t="s">
        <v>319</v>
      </c>
      <c r="C9" s="9" t="s">
        <v>323</v>
      </c>
      <c r="D9" s="9" t="s">
        <v>325</v>
      </c>
      <c r="E9" s="8" t="s">
        <v>118</v>
      </c>
      <c r="F9" s="8" t="s">
        <v>57</v>
      </c>
      <c r="G9" s="27">
        <v>46324</v>
      </c>
      <c r="H9" s="9"/>
    </row>
    <row r="10" spans="1:8" ht="82.8" x14ac:dyDescent="0.3">
      <c r="A10" s="8" t="s">
        <v>330</v>
      </c>
      <c r="B10" s="9" t="s">
        <v>239</v>
      </c>
      <c r="C10" s="9" t="s">
        <v>333</v>
      </c>
      <c r="D10" s="9" t="s">
        <v>336</v>
      </c>
      <c r="E10" s="8" t="s">
        <v>310</v>
      </c>
      <c r="F10" s="8" t="s">
        <v>57</v>
      </c>
      <c r="G10" s="27">
        <v>46324</v>
      </c>
      <c r="H10" s="9"/>
    </row>
    <row r="11" spans="1:8" ht="55.2" x14ac:dyDescent="0.3">
      <c r="A11" s="8" t="s">
        <v>338</v>
      </c>
      <c r="B11" s="9" t="s">
        <v>243</v>
      </c>
      <c r="C11" s="9" t="s">
        <v>340</v>
      </c>
      <c r="D11" s="9" t="s">
        <v>342</v>
      </c>
      <c r="E11" s="8" t="s">
        <v>310</v>
      </c>
      <c r="F11" s="8" t="s">
        <v>57</v>
      </c>
      <c r="G11" s="27">
        <v>46324</v>
      </c>
      <c r="H11" s="9"/>
    </row>
    <row r="12" spans="1:8" ht="41.4" x14ac:dyDescent="0.3">
      <c r="A12" s="8" t="s">
        <v>345</v>
      </c>
      <c r="B12" s="9" t="s">
        <v>246</v>
      </c>
      <c r="C12" s="9" t="s">
        <v>348</v>
      </c>
      <c r="D12" s="9" t="s">
        <v>351</v>
      </c>
      <c r="E12" s="8" t="s">
        <v>310</v>
      </c>
      <c r="F12" s="8" t="s">
        <v>57</v>
      </c>
      <c r="G12" s="27">
        <v>46324</v>
      </c>
      <c r="H12" s="9"/>
    </row>
    <row r="13" spans="1:8" ht="41.4" x14ac:dyDescent="0.3">
      <c r="A13" s="8" t="s">
        <v>355</v>
      </c>
      <c r="B13" s="9" t="s">
        <v>248</v>
      </c>
      <c r="C13" s="9" t="s">
        <v>358</v>
      </c>
      <c r="D13" s="9" t="s">
        <v>359</v>
      </c>
      <c r="E13" s="8" t="s">
        <v>310</v>
      </c>
      <c r="F13" s="8" t="s">
        <v>57</v>
      </c>
      <c r="G13" s="27">
        <v>46324</v>
      </c>
      <c r="H13" s="9"/>
    </row>
    <row r="14" spans="1:8" ht="41.4" x14ac:dyDescent="0.3">
      <c r="A14" s="8" t="s">
        <v>364</v>
      </c>
      <c r="B14" s="9" t="s">
        <v>251</v>
      </c>
      <c r="C14" s="9" t="s">
        <v>367</v>
      </c>
      <c r="D14" s="9" t="s">
        <v>368</v>
      </c>
      <c r="E14" s="8" t="s">
        <v>310</v>
      </c>
      <c r="F14" s="8" t="s">
        <v>57</v>
      </c>
      <c r="G14" s="27">
        <v>46324</v>
      </c>
      <c r="H14" s="9"/>
    </row>
    <row r="15" spans="1:8" ht="41.4" x14ac:dyDescent="0.3">
      <c r="A15" s="8" t="s">
        <v>371</v>
      </c>
      <c r="B15" s="9" t="s">
        <v>257</v>
      </c>
      <c r="C15" s="9" t="s">
        <v>374</v>
      </c>
      <c r="D15" s="9" t="s">
        <v>377</v>
      </c>
      <c r="E15" s="8" t="s">
        <v>310</v>
      </c>
      <c r="F15" s="8" t="s">
        <v>57</v>
      </c>
      <c r="G15" s="27">
        <v>46324</v>
      </c>
      <c r="H15" s="9"/>
    </row>
    <row r="16" spans="1:8" ht="82.8" x14ac:dyDescent="0.3">
      <c r="A16" s="8" t="s">
        <v>385</v>
      </c>
      <c r="B16" s="9" t="s">
        <v>260</v>
      </c>
      <c r="C16" s="9" t="s">
        <v>395</v>
      </c>
      <c r="D16" s="9" t="s">
        <v>399</v>
      </c>
      <c r="E16" s="8" t="s">
        <v>371</v>
      </c>
      <c r="F16" s="8" t="s">
        <v>57</v>
      </c>
      <c r="G16" s="27">
        <v>46324</v>
      </c>
      <c r="H16" s="9"/>
    </row>
    <row r="17" spans="1:8" ht="41.4" x14ac:dyDescent="0.3">
      <c r="A17" s="8" t="s">
        <v>406</v>
      </c>
      <c r="B17" s="9" t="s">
        <v>262</v>
      </c>
      <c r="C17" s="9" t="s">
        <v>409</v>
      </c>
      <c r="D17" s="9" t="s">
        <v>410</v>
      </c>
      <c r="E17" s="8" t="s">
        <v>371</v>
      </c>
      <c r="F17" s="8" t="s">
        <v>57</v>
      </c>
      <c r="G17" s="27">
        <v>46324</v>
      </c>
      <c r="H17" s="9"/>
    </row>
    <row r="18" spans="1:8" ht="110.4" x14ac:dyDescent="0.3">
      <c r="A18" s="8" t="s">
        <v>412</v>
      </c>
      <c r="B18" s="9" t="s">
        <v>265</v>
      </c>
      <c r="C18" s="9" t="s">
        <v>415</v>
      </c>
      <c r="D18" s="9" t="s">
        <v>417</v>
      </c>
      <c r="E18" s="8" t="s">
        <v>371</v>
      </c>
      <c r="F18" s="8" t="s">
        <v>60</v>
      </c>
      <c r="G18" s="27">
        <v>46324</v>
      </c>
      <c r="H18" s="9" t="s">
        <v>473</v>
      </c>
    </row>
    <row r="19" spans="1:8" ht="110.4" x14ac:dyDescent="0.3">
      <c r="A19" s="8" t="s">
        <v>420</v>
      </c>
      <c r="B19" s="9" t="s">
        <v>267</v>
      </c>
      <c r="C19" s="9" t="s">
        <v>421</v>
      </c>
      <c r="D19" s="9" t="s">
        <v>422</v>
      </c>
      <c r="E19" s="8" t="s">
        <v>371</v>
      </c>
      <c r="F19" s="8" t="s">
        <v>60</v>
      </c>
      <c r="G19" s="27">
        <v>46324</v>
      </c>
      <c r="H19" s="9" t="s">
        <v>473</v>
      </c>
    </row>
    <row r="20" spans="1:8" ht="110.4" x14ac:dyDescent="0.3">
      <c r="A20" s="8" t="s">
        <v>423</v>
      </c>
      <c r="B20" s="9" t="s">
        <v>273</v>
      </c>
      <c r="C20" s="9" t="s">
        <v>424</v>
      </c>
      <c r="D20" s="9" t="s">
        <v>425</v>
      </c>
      <c r="E20" s="8" t="s">
        <v>371</v>
      </c>
      <c r="F20" s="8" t="s">
        <v>60</v>
      </c>
      <c r="G20" s="27">
        <v>46324</v>
      </c>
      <c r="H20" s="9" t="s">
        <v>474</v>
      </c>
    </row>
    <row r="21" spans="1:8" ht="124.2" x14ac:dyDescent="0.3">
      <c r="A21" s="8" t="s">
        <v>426</v>
      </c>
      <c r="B21" s="9" t="s">
        <v>276</v>
      </c>
      <c r="C21" s="9" t="s">
        <v>427</v>
      </c>
      <c r="D21" s="9" t="s">
        <v>428</v>
      </c>
      <c r="E21" s="8" t="s">
        <v>371</v>
      </c>
      <c r="F21" s="8" t="s">
        <v>60</v>
      </c>
      <c r="G21" s="27">
        <v>46324</v>
      </c>
      <c r="H21" s="9" t="s">
        <v>475</v>
      </c>
    </row>
    <row r="22" spans="1:8" ht="55.2" x14ac:dyDescent="0.3">
      <c r="A22" s="8" t="s">
        <v>429</v>
      </c>
      <c r="B22" s="9" t="s">
        <v>280</v>
      </c>
      <c r="C22" s="9" t="s">
        <v>430</v>
      </c>
      <c r="D22" s="9" t="s">
        <v>431</v>
      </c>
      <c r="E22" s="8" t="s">
        <v>371</v>
      </c>
      <c r="F22" s="8" t="s">
        <v>57</v>
      </c>
      <c r="G22" s="27">
        <v>46324</v>
      </c>
      <c r="H22" s="9"/>
    </row>
    <row r="23" spans="1:8" ht="55.2" x14ac:dyDescent="0.3">
      <c r="A23" s="8" t="s">
        <v>432</v>
      </c>
      <c r="B23" s="9" t="s">
        <v>284</v>
      </c>
      <c r="C23" s="9" t="s">
        <v>433</v>
      </c>
      <c r="D23" s="9" t="s">
        <v>434</v>
      </c>
      <c r="E23" s="8" t="s">
        <v>371</v>
      </c>
      <c r="F23" s="8" t="s">
        <v>57</v>
      </c>
      <c r="G23" s="27">
        <v>46324</v>
      </c>
      <c r="H23" s="9"/>
    </row>
    <row r="24" spans="1:8" ht="55.2" x14ac:dyDescent="0.3">
      <c r="A24" s="8" t="s">
        <v>435</v>
      </c>
      <c r="B24" s="9" t="s">
        <v>290</v>
      </c>
      <c r="C24" s="9" t="s">
        <v>436</v>
      </c>
      <c r="D24" s="9" t="s">
        <v>437</v>
      </c>
      <c r="E24" s="8" t="s">
        <v>385</v>
      </c>
      <c r="F24" s="8" t="s">
        <v>57</v>
      </c>
      <c r="G24" s="27">
        <v>46324</v>
      </c>
      <c r="H24" s="9"/>
    </row>
    <row r="25" spans="1:8" ht="41.4" x14ac:dyDescent="0.3">
      <c r="A25" s="8" t="s">
        <v>438</v>
      </c>
      <c r="B25" s="9" t="s">
        <v>295</v>
      </c>
      <c r="C25" s="9" t="s">
        <v>439</v>
      </c>
      <c r="D25" s="9" t="s">
        <v>440</v>
      </c>
      <c r="E25" s="8" t="s">
        <v>385</v>
      </c>
      <c r="F25" s="8" t="s">
        <v>57</v>
      </c>
      <c r="G25" s="27">
        <v>46324</v>
      </c>
      <c r="H25" s="9"/>
    </row>
    <row r="26" spans="1:8" ht="55.2" x14ac:dyDescent="0.3">
      <c r="A26" s="8" t="s">
        <v>441</v>
      </c>
      <c r="B26" s="9" t="s">
        <v>305</v>
      </c>
      <c r="C26" s="9" t="s">
        <v>442</v>
      </c>
      <c r="D26" s="9" t="s">
        <v>443</v>
      </c>
      <c r="E26" s="8" t="s">
        <v>435</v>
      </c>
      <c r="F26" s="8" t="s">
        <v>57</v>
      </c>
      <c r="G26" s="27">
        <v>46324</v>
      </c>
      <c r="H26" s="9"/>
    </row>
    <row r="27" spans="1:8" ht="41.4" x14ac:dyDescent="0.3">
      <c r="A27" s="8" t="s">
        <v>444</v>
      </c>
      <c r="B27" s="9" t="s">
        <v>314</v>
      </c>
      <c r="C27" s="9" t="s">
        <v>445</v>
      </c>
      <c r="D27" s="9" t="s">
        <v>446</v>
      </c>
      <c r="E27" s="8" t="s">
        <v>385</v>
      </c>
      <c r="F27" s="8" t="s">
        <v>57</v>
      </c>
      <c r="G27" s="27">
        <v>46324</v>
      </c>
      <c r="H27" s="9"/>
    </row>
    <row r="28" spans="1:8" ht="41.4" x14ac:dyDescent="0.3">
      <c r="A28" s="8" t="s">
        <v>447</v>
      </c>
      <c r="B28" s="9" t="s">
        <v>322</v>
      </c>
      <c r="C28" s="9" t="s">
        <v>448</v>
      </c>
      <c r="D28" s="9" t="s">
        <v>449</v>
      </c>
      <c r="E28" s="8" t="s">
        <v>385</v>
      </c>
      <c r="F28" s="8" t="s">
        <v>57</v>
      </c>
      <c r="G28" s="27">
        <v>46324</v>
      </c>
      <c r="H28" s="9"/>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I1000"/>
  <sheetViews>
    <sheetView tabSelected="1" workbookViewId="0"/>
  </sheetViews>
  <sheetFormatPr defaultColWidth="14.44140625" defaultRowHeight="15" customHeight="1" x14ac:dyDescent="0.3"/>
  <cols>
    <col min="1" max="1" width="8.6640625" customWidth="1"/>
    <col min="2" max="2" width="8" customWidth="1"/>
    <col min="3" max="3" width="25" customWidth="1"/>
    <col min="4" max="8" width="12" customWidth="1"/>
    <col min="9" max="9" width="20" customWidth="1"/>
    <col min="10" max="26" width="8.6640625" customWidth="1"/>
  </cols>
  <sheetData>
    <row r="2" spans="2:9" ht="14.4" x14ac:dyDescent="0.3">
      <c r="B2" s="28" t="s">
        <v>450</v>
      </c>
      <c r="C2" s="29"/>
      <c r="D2" s="29"/>
      <c r="E2" s="29"/>
      <c r="F2" s="29"/>
      <c r="G2" s="29"/>
      <c r="H2" s="29"/>
      <c r="I2" s="29"/>
    </row>
    <row r="4" spans="2:9" ht="14.4" x14ac:dyDescent="0.3">
      <c r="B4" s="1" t="s">
        <v>1</v>
      </c>
      <c r="C4" s="2" t="s">
        <v>19</v>
      </c>
      <c r="F4" s="1" t="s">
        <v>3</v>
      </c>
      <c r="G4" s="2" t="s">
        <v>4</v>
      </c>
    </row>
    <row r="5" spans="2:9" ht="14.4" x14ac:dyDescent="0.3">
      <c r="B5" s="1" t="s">
        <v>6</v>
      </c>
      <c r="C5" s="2" t="s">
        <v>7</v>
      </c>
      <c r="F5" s="1" t="s">
        <v>8</v>
      </c>
      <c r="G5" s="2" t="s">
        <v>9</v>
      </c>
    </row>
    <row r="6" spans="2:9" ht="14.4" x14ac:dyDescent="0.3">
      <c r="B6" s="1" t="s">
        <v>10</v>
      </c>
      <c r="C6" s="2" t="s">
        <v>451</v>
      </c>
      <c r="F6" s="1" t="s">
        <v>12</v>
      </c>
      <c r="G6" s="2" t="s">
        <v>13</v>
      </c>
    </row>
    <row r="7" spans="2:9" ht="14.4" x14ac:dyDescent="0.3">
      <c r="B7" s="1" t="s">
        <v>452</v>
      </c>
      <c r="C7" s="2" t="s">
        <v>453</v>
      </c>
      <c r="F7" s="1" t="s">
        <v>16</v>
      </c>
      <c r="G7" s="2" t="s">
        <v>17</v>
      </c>
    </row>
    <row r="10" spans="2:9" ht="14.4" x14ac:dyDescent="0.3">
      <c r="B10" s="6" t="s">
        <v>27</v>
      </c>
      <c r="C10" s="6" t="s">
        <v>454</v>
      </c>
      <c r="D10" s="6" t="s">
        <v>455</v>
      </c>
      <c r="E10" s="6" t="s">
        <v>456</v>
      </c>
      <c r="F10" s="6" t="s">
        <v>61</v>
      </c>
      <c r="G10" s="6" t="s">
        <v>62</v>
      </c>
      <c r="H10" s="6" t="s">
        <v>64</v>
      </c>
      <c r="I10" s="6" t="s">
        <v>457</v>
      </c>
    </row>
    <row r="11" spans="2:9" ht="14.4" x14ac:dyDescent="0.3">
      <c r="B11" s="8">
        <v>1</v>
      </c>
      <c r="C11" s="9" t="s">
        <v>50</v>
      </c>
      <c r="D11" s="8">
        <f>'Admin - Orders'!A6</f>
        <v>37</v>
      </c>
      <c r="E11" s="8">
        <f>'Admin - Orders'!B6</f>
        <v>5</v>
      </c>
      <c r="F11" s="8">
        <f>'Admin - Orders'!C6</f>
        <v>0</v>
      </c>
      <c r="G11" s="8">
        <f>'Admin - Orders'!D6</f>
        <v>2</v>
      </c>
      <c r="H11" s="8">
        <f>'Admin - Orders'!E6</f>
        <v>0</v>
      </c>
      <c r="I11" s="8">
        <f>'Admin - Orders'!F6</f>
        <v>44</v>
      </c>
    </row>
    <row r="12" spans="2:9" ht="14.4" x14ac:dyDescent="0.3">
      <c r="B12" s="8">
        <v>2</v>
      </c>
      <c r="C12" s="9" t="s">
        <v>171</v>
      </c>
      <c r="D12" s="8">
        <f>'Admin - Shipments'!A6</f>
        <v>18</v>
      </c>
      <c r="E12" s="8">
        <f>'Admin - Shipments'!B6</f>
        <v>2</v>
      </c>
      <c r="F12" s="8">
        <f>'Admin - Shipments'!C6</f>
        <v>0</v>
      </c>
      <c r="G12" s="8">
        <f>'Admin - Shipments'!D6</f>
        <v>0</v>
      </c>
      <c r="H12" s="8">
        <f>'Admin - Shipments'!E6</f>
        <v>0</v>
      </c>
      <c r="I12" s="8">
        <f>'Admin - Shipments'!F6</f>
        <v>20</v>
      </c>
    </row>
    <row r="13" spans="2:9" ht="14.4" x14ac:dyDescent="0.3">
      <c r="B13" s="8">
        <v>3</v>
      </c>
      <c r="C13" s="9" t="s">
        <v>189</v>
      </c>
      <c r="D13" s="8">
        <f>'Admin - Gift cards'!A6</f>
        <v>16</v>
      </c>
      <c r="E13" s="8">
        <f>'Admin - Gift cards'!B6</f>
        <v>4</v>
      </c>
      <c r="F13" s="8">
        <f>'Admin - Gift cards'!C6</f>
        <v>0</v>
      </c>
      <c r="G13" s="8">
        <f>'Admin - Gift cards'!D6</f>
        <v>0</v>
      </c>
      <c r="H13" s="8">
        <f>'Admin - Gift cards'!E6</f>
        <v>0</v>
      </c>
      <c r="I13" s="8">
        <f>'Admin - Gift cards'!F6</f>
        <v>20</v>
      </c>
    </row>
    <row r="14" spans="2:9" ht="14.4" x14ac:dyDescent="0.3">
      <c r="C14" s="24" t="s">
        <v>458</v>
      </c>
      <c r="D14" s="13">
        <f t="shared" ref="D14:I14" si="0">SUM(D11:D13)</f>
        <v>71</v>
      </c>
      <c r="E14" s="13">
        <f t="shared" si="0"/>
        <v>11</v>
      </c>
      <c r="F14" s="13">
        <f t="shared" si="0"/>
        <v>0</v>
      </c>
      <c r="G14" s="13">
        <f t="shared" si="0"/>
        <v>2</v>
      </c>
      <c r="H14" s="13">
        <f t="shared" si="0"/>
        <v>0</v>
      </c>
      <c r="I14" s="13">
        <f t="shared" si="0"/>
        <v>84</v>
      </c>
    </row>
    <row r="16" spans="2:9" ht="14.4" x14ac:dyDescent="0.3">
      <c r="C16" s="25" t="s">
        <v>459</v>
      </c>
      <c r="E16" s="26">
        <f>IF(I14-H14=0, 0, (D14+E14)/(I14-H14)*100)</f>
        <v>97.61904761904762</v>
      </c>
      <c r="F16" s="3" t="s">
        <v>460</v>
      </c>
    </row>
    <row r="17" spans="3:6" ht="14.4" x14ac:dyDescent="0.3">
      <c r="C17" s="25" t="s">
        <v>461</v>
      </c>
      <c r="E17" s="26">
        <f>IF(D14+E14=0, 0, D14/(D14+E14)*100)</f>
        <v>86.58536585365853</v>
      </c>
      <c r="F17" s="3" t="s">
        <v>460</v>
      </c>
    </row>
    <row r="21" spans="3:6" ht="15.75" customHeight="1" x14ac:dyDescent="0.3"/>
    <row r="22" spans="3:6" ht="15.75" customHeight="1" x14ac:dyDescent="0.3"/>
    <row r="23" spans="3:6" ht="15.75" customHeight="1" x14ac:dyDescent="0.3"/>
    <row r="24" spans="3:6" ht="15.75" customHeight="1" x14ac:dyDescent="0.3"/>
    <row r="25" spans="3:6" ht="15.75" customHeight="1" x14ac:dyDescent="0.3"/>
    <row r="26" spans="3:6" ht="15.75" customHeight="1" x14ac:dyDescent="0.3"/>
    <row r="27" spans="3:6" ht="15.75" customHeight="1" x14ac:dyDescent="0.3"/>
    <row r="28" spans="3:6" ht="15.75" customHeight="1" x14ac:dyDescent="0.3"/>
    <row r="29" spans="3:6" ht="15.75" customHeight="1" x14ac:dyDescent="0.3"/>
    <row r="30" spans="3:6" ht="15.75" customHeight="1" x14ac:dyDescent="0.3"/>
    <row r="31" spans="3:6" ht="15.75" customHeight="1" x14ac:dyDescent="0.3"/>
    <row r="32" spans="3: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2:I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Test case List</vt:lpstr>
      <vt:lpstr>TestDesign</vt:lpstr>
      <vt:lpstr>Admin - Orders</vt:lpstr>
      <vt:lpstr>Admin - Shipments</vt:lpstr>
      <vt:lpstr>Admin - Gift cards</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Trương Đoàn</cp:lastModifiedBy>
  <dcterms:modified xsi:type="dcterms:W3CDTF">2026-10-29T12:18:19Z</dcterms:modified>
</cp:coreProperties>
</file>